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D:\1. StudentFiles_DeakinLancasterIndonesia\1. Tools and Techniques for Business Analytics\Courseworks\CW 3\"/>
    </mc:Choice>
  </mc:AlternateContent>
  <xr:revisionPtr revIDLastSave="0" documentId="13_ncr:1_{B9D10DF0-5549-46E6-AF07-C8C20771EA02}" xr6:coauthVersionLast="47" xr6:coauthVersionMax="47" xr10:uidLastSave="{00000000-0000-0000-0000-000000000000}"/>
  <bookViews>
    <workbookView xWindow="-110" yWindow="-110" windowWidth="19420" windowHeight="11500" xr2:uid="{214EEE6B-DFEB-EA44-B687-65678324E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 a="1"/>
  <c r="D101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1" i="1" a="1"/>
  <c r="H101" i="1" s="1"/>
  <c r="H92" i="1" a="1"/>
  <c r="H92" i="1" s="1"/>
  <c r="G118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3" i="1" a="1"/>
  <c r="H83" i="1" s="1"/>
  <c r="G117" i="1" s="1"/>
  <c r="H79" i="1" a="1"/>
  <c r="H79" i="1" s="1"/>
  <c r="D106" i="1" a="1"/>
  <c r="D106" i="1" s="1"/>
  <c r="H75" i="1" a="1"/>
  <c r="H75" i="1" s="1"/>
  <c r="H76" i="1" a="1"/>
  <c r="H76" i="1" s="1"/>
  <c r="H77" i="1" a="1"/>
  <c r="H77" i="1" s="1"/>
  <c r="H78" i="1" a="1"/>
  <c r="H78" i="1" s="1"/>
  <c r="H74" i="1" a="1"/>
  <c r="H74" i="1" s="1"/>
  <c r="D105" i="1" a="1"/>
  <c r="D105" i="1" s="1"/>
  <c r="D104" i="1" a="1"/>
  <c r="D104" i="1" s="1"/>
  <c r="D103" i="1" a="1"/>
  <c r="D103" i="1" s="1"/>
  <c r="D102" i="1" a="1"/>
  <c r="D10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2" i="1" a="1"/>
  <c r="D92" i="1" s="1"/>
  <c r="G114" i="1" s="1"/>
  <c r="D83" i="1" a="1"/>
  <c r="D83" i="1" s="1"/>
  <c r="G11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74" i="1" a="1"/>
  <c r="D74" i="1" s="1"/>
  <c r="G112" i="1" s="1"/>
  <c r="F65" i="1" a="1"/>
  <c r="F65" i="1" s="1"/>
  <c r="G111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G119" i="1" l="1"/>
  <c r="G116" i="1"/>
  <c r="G115" i="1"/>
  <c r="P43" i="1"/>
  <c r="P44" i="1"/>
  <c r="P45" i="1"/>
  <c r="P46" i="1"/>
  <c r="P47" i="1"/>
  <c r="P42" i="1"/>
  <c r="P33" i="1"/>
  <c r="P34" i="1"/>
  <c r="P35" i="1"/>
  <c r="P36" i="1"/>
  <c r="P37" i="1"/>
  <c r="P32" i="1"/>
  <c r="P23" i="1"/>
  <c r="P24" i="1"/>
  <c r="P25" i="1"/>
  <c r="P26" i="1"/>
  <c r="P27" i="1"/>
  <c r="P22" i="1"/>
  <c r="G33" i="1"/>
  <c r="G34" i="1"/>
  <c r="G35" i="1"/>
  <c r="G36" i="1"/>
  <c r="G37" i="1"/>
  <c r="G32" i="1"/>
  <c r="G23" i="1"/>
  <c r="G24" i="1"/>
  <c r="G25" i="1"/>
  <c r="G26" i="1"/>
  <c r="G27" i="1"/>
  <c r="G22" i="1"/>
  <c r="G45" i="1"/>
  <c r="G42" i="1"/>
  <c r="M43" i="1"/>
  <c r="M44" i="1"/>
  <c r="M45" i="1"/>
  <c r="M46" i="1"/>
  <c r="M47" i="1"/>
  <c r="M42" i="1"/>
  <c r="D43" i="1"/>
  <c r="D44" i="1"/>
  <c r="D45" i="1"/>
  <c r="D46" i="1"/>
  <c r="D47" i="1"/>
  <c r="M33" i="1"/>
  <c r="M34" i="1"/>
  <c r="M35" i="1"/>
  <c r="M36" i="1"/>
  <c r="M37" i="1"/>
  <c r="M32" i="1"/>
  <c r="M23" i="1"/>
  <c r="M24" i="1"/>
  <c r="M25" i="1"/>
  <c r="M26" i="1"/>
  <c r="M27" i="1"/>
  <c r="M22" i="1"/>
  <c r="D42" i="1"/>
  <c r="B23" i="1"/>
  <c r="B22" i="1"/>
  <c r="B24" i="1"/>
  <c r="B34" i="1" s="1"/>
  <c r="B25" i="1"/>
  <c r="B35" i="1" s="1"/>
  <c r="B26" i="1"/>
  <c r="B36" i="1" s="1"/>
  <c r="B27" i="1"/>
  <c r="B37" i="1" s="1"/>
  <c r="D33" i="1"/>
  <c r="D34" i="1"/>
  <c r="D35" i="1"/>
  <c r="D36" i="1"/>
  <c r="D37" i="1"/>
  <c r="D32" i="1"/>
  <c r="D23" i="1"/>
  <c r="E23" i="1" s="1"/>
  <c r="D24" i="1"/>
  <c r="E24" i="1" s="1"/>
  <c r="D25" i="1"/>
  <c r="D26" i="1"/>
  <c r="D27" i="1"/>
  <c r="D22" i="1"/>
  <c r="C23" i="1"/>
  <c r="C33" i="1" s="1"/>
  <c r="C43" i="1" s="1"/>
  <c r="L23" i="1" s="1"/>
  <c r="C24" i="1"/>
  <c r="C34" i="1" s="1"/>
  <c r="C44" i="1" s="1"/>
  <c r="L24" i="1" s="1"/>
  <c r="C25" i="1"/>
  <c r="C35" i="1" s="1"/>
  <c r="C45" i="1" s="1"/>
  <c r="L25" i="1" s="1"/>
  <c r="C26" i="1"/>
  <c r="C36" i="1" s="1"/>
  <c r="C46" i="1" s="1"/>
  <c r="L26" i="1" s="1"/>
  <c r="C27" i="1"/>
  <c r="C22" i="1"/>
  <c r="C32" i="1" s="1"/>
  <c r="C42" i="1" s="1"/>
  <c r="L22" i="1" s="1"/>
  <c r="G43" i="1"/>
  <c r="G44" i="1"/>
  <c r="G46" i="1"/>
  <c r="G47" i="1"/>
  <c r="E27" i="1"/>
  <c r="F27" i="1" l="1"/>
  <c r="B32" i="1"/>
  <c r="F22" i="1"/>
  <c r="B33" i="1"/>
  <c r="F33" i="1" s="1"/>
  <c r="F23" i="1"/>
  <c r="H22" i="1"/>
  <c r="F25" i="1"/>
  <c r="H25" i="1" s="1"/>
  <c r="I25" i="1" s="1"/>
  <c r="B42" i="1"/>
  <c r="F32" i="1"/>
  <c r="H32" i="1" s="1"/>
  <c r="E32" i="1"/>
  <c r="E35" i="1"/>
  <c r="F35" i="1"/>
  <c r="H35" i="1" s="1"/>
  <c r="I35" i="1" s="1"/>
  <c r="B45" i="1"/>
  <c r="E37" i="1"/>
  <c r="B47" i="1"/>
  <c r="E25" i="1"/>
  <c r="E33" i="1"/>
  <c r="E26" i="1"/>
  <c r="B43" i="1"/>
  <c r="F24" i="1"/>
  <c r="H24" i="1" s="1"/>
  <c r="I24" i="1" s="1"/>
  <c r="F26" i="1"/>
  <c r="H26" i="1" s="1"/>
  <c r="I26" i="1" s="1"/>
  <c r="H23" i="1"/>
  <c r="I23" i="1" s="1"/>
  <c r="E22" i="1"/>
  <c r="B46" i="1"/>
  <c r="F36" i="1"/>
  <c r="H36" i="1" s="1"/>
  <c r="I36" i="1" s="1"/>
  <c r="E36" i="1"/>
  <c r="B44" i="1"/>
  <c r="F34" i="1"/>
  <c r="H34" i="1" s="1"/>
  <c r="I34" i="1" s="1"/>
  <c r="E34" i="1"/>
  <c r="F37" i="1"/>
  <c r="H37" i="1" s="1"/>
  <c r="I37" i="1" s="1"/>
  <c r="H33" i="1"/>
  <c r="I33" i="1" s="1"/>
  <c r="H27" i="1"/>
  <c r="I27" i="1" s="1"/>
  <c r="L36" i="1"/>
  <c r="L46" i="1" s="1"/>
  <c r="L32" i="1"/>
  <c r="L42" i="1" s="1"/>
  <c r="L33" i="1"/>
  <c r="L43" i="1" s="1"/>
  <c r="L34" i="1"/>
  <c r="L44" i="1" s="1"/>
  <c r="L35" i="1"/>
  <c r="L45" i="1" s="1"/>
  <c r="I28" i="1" l="1"/>
  <c r="I32" i="1"/>
  <c r="I38" i="1"/>
  <c r="F47" i="1"/>
  <c r="E47" i="1"/>
  <c r="K27" i="1"/>
  <c r="E45" i="1"/>
  <c r="K25" i="1"/>
  <c r="F45" i="1"/>
  <c r="K24" i="1"/>
  <c r="F44" i="1"/>
  <c r="E44" i="1"/>
  <c r="K26" i="1"/>
  <c r="E46" i="1"/>
  <c r="F46" i="1"/>
  <c r="F43" i="1"/>
  <c r="H43" i="1" s="1"/>
  <c r="I43" i="1" s="1"/>
  <c r="E43" i="1"/>
  <c r="K23" i="1"/>
  <c r="E42" i="1"/>
  <c r="F42" i="1"/>
  <c r="H42" i="1" s="1"/>
  <c r="I42" i="1" s="1"/>
  <c r="K22" i="1"/>
  <c r="I22" i="1"/>
  <c r="H45" i="1" l="1"/>
  <c r="I45" i="1" s="1"/>
  <c r="K37" i="1"/>
  <c r="O27" i="1"/>
  <c r="N27" i="1"/>
  <c r="H44" i="1"/>
  <c r="O22" i="1"/>
  <c r="Q22" i="1" s="1"/>
  <c r="N22" i="1"/>
  <c r="K32" i="1"/>
  <c r="N24" i="1"/>
  <c r="O24" i="1"/>
  <c r="K34" i="1"/>
  <c r="O25" i="1"/>
  <c r="K35" i="1"/>
  <c r="N25" i="1"/>
  <c r="H46" i="1"/>
  <c r="I46" i="1" s="1"/>
  <c r="H47" i="1"/>
  <c r="I47" i="1" s="1"/>
  <c r="K33" i="1"/>
  <c r="N23" i="1"/>
  <c r="O23" i="1"/>
  <c r="Q23" i="1" s="1"/>
  <c r="R23" i="1" s="1"/>
  <c r="K36" i="1"/>
  <c r="O26" i="1"/>
  <c r="N26" i="1"/>
  <c r="K42" i="1" l="1"/>
  <c r="N32" i="1"/>
  <c r="O32" i="1"/>
  <c r="Q32" i="1" s="1"/>
  <c r="I44" i="1"/>
  <c r="I48" i="1"/>
  <c r="K46" i="1"/>
  <c r="N36" i="1"/>
  <c r="O36" i="1"/>
  <c r="Q36" i="1" s="1"/>
  <c r="R36" i="1" s="1"/>
  <c r="Q24" i="1"/>
  <c r="R24" i="1" s="1"/>
  <c r="Q27" i="1"/>
  <c r="R27" i="1" s="1"/>
  <c r="K45" i="1"/>
  <c r="O35" i="1"/>
  <c r="Q35" i="1" s="1"/>
  <c r="R35" i="1" s="1"/>
  <c r="N35" i="1"/>
  <c r="K47" i="1"/>
  <c r="O37" i="1"/>
  <c r="Q37" i="1" s="1"/>
  <c r="R37" i="1" s="1"/>
  <c r="N37" i="1"/>
  <c r="R22" i="1"/>
  <c r="Q25" i="1"/>
  <c r="R25" i="1" s="1"/>
  <c r="N33" i="1"/>
  <c r="K43" i="1"/>
  <c r="O33" i="1"/>
  <c r="Q33" i="1" s="1"/>
  <c r="R33" i="1" s="1"/>
  <c r="Q26" i="1"/>
  <c r="R26" i="1" s="1"/>
  <c r="N34" i="1"/>
  <c r="K44" i="1"/>
  <c r="O34" i="1"/>
  <c r="Q34" i="1" s="1"/>
  <c r="R34" i="1" s="1"/>
  <c r="N46" i="1" l="1"/>
  <c r="O46" i="1"/>
  <c r="Q46" i="1" s="1"/>
  <c r="R46" i="1" s="1"/>
  <c r="R28" i="1"/>
  <c r="N47" i="1"/>
  <c r="O47" i="1"/>
  <c r="Q47" i="1" s="1"/>
  <c r="R47" i="1" s="1"/>
  <c r="R38" i="1"/>
  <c r="R32" i="1"/>
  <c r="O43" i="1"/>
  <c r="Q43" i="1" s="1"/>
  <c r="R43" i="1" s="1"/>
  <c r="N43" i="1"/>
  <c r="N45" i="1"/>
  <c r="O45" i="1"/>
  <c r="Q45" i="1" s="1"/>
  <c r="R45" i="1" s="1"/>
  <c r="O44" i="1"/>
  <c r="Q44" i="1" s="1"/>
  <c r="R44" i="1" s="1"/>
  <c r="N44" i="1"/>
  <c r="N42" i="1"/>
  <c r="O42" i="1"/>
  <c r="Q42" i="1" s="1"/>
  <c r="R42" i="1" l="1"/>
  <c r="R4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<sst xmlns="http://schemas.openxmlformats.org/spreadsheetml/2006/main" count="155" uniqueCount="56">
  <si>
    <t>Percentage</t>
  </si>
  <si>
    <t xml:space="preserve">Demand </t>
  </si>
  <si>
    <t>Probability</t>
  </si>
  <si>
    <t>Capacity</t>
  </si>
  <si>
    <t>EXPECTED VALUE (EV):</t>
  </si>
  <si>
    <t>Processing Units</t>
  </si>
  <si>
    <t>Expected Value (£)</t>
  </si>
  <si>
    <t>Scenario</t>
  </si>
  <si>
    <t>Optimal Capacity</t>
  </si>
  <si>
    <t>Expected Value</t>
  </si>
  <si>
    <t>Parameters</t>
  </si>
  <si>
    <t>Profit per 1000 chats</t>
  </si>
  <si>
    <t>PU Cost per unit/hour</t>
  </si>
  <si>
    <t>PU Capacity</t>
  </si>
  <si>
    <t>Demand Scenarios</t>
  </si>
  <si>
    <t>Demand @ 40,000 | 2 Processing Units</t>
  </si>
  <si>
    <t>Demand @ 60,000| 3 Processing Units</t>
  </si>
  <si>
    <t>Demand @ 80,000 | 4 Processing Units</t>
  </si>
  <si>
    <t>Demand @ 100,000 | 5 Processing Units</t>
  </si>
  <si>
    <t>Demand @ 140,000 | 7 Processing Units</t>
  </si>
  <si>
    <t>Actual Chats</t>
  </si>
  <si>
    <t>Revenue</t>
  </si>
  <si>
    <t>Cost</t>
  </si>
  <si>
    <t>Profit</t>
  </si>
  <si>
    <t>Weighted Profit</t>
  </si>
  <si>
    <t>Decision Analysis</t>
  </si>
  <si>
    <t>High Profit Parameters</t>
  </si>
  <si>
    <t>High Cost Parameters</t>
  </si>
  <si>
    <t>High Profit-High Cost Parameters</t>
  </si>
  <si>
    <t>High Profit-Low Cost Parameters</t>
  </si>
  <si>
    <t>Low Profit Parameters</t>
  </si>
  <si>
    <t>Low Cost Parameters</t>
  </si>
  <si>
    <t>Low Profit-Low Cost Parameters</t>
  </si>
  <si>
    <t>Low Profit-High Cost Parameters</t>
  </si>
  <si>
    <t>Sensitivity Analysis:</t>
  </si>
  <si>
    <t>Original Scenario</t>
  </si>
  <si>
    <t>High Profit Scenario</t>
  </si>
  <si>
    <t>High Cost Scenario</t>
  </si>
  <si>
    <t>High Profit-High Cost Scenario</t>
  </si>
  <si>
    <t>Low Profit Scenario</t>
  </si>
  <si>
    <t>Low Cost Scenario</t>
  </si>
  <si>
    <t>Low Profit-Low Cost Scenario</t>
  </si>
  <si>
    <t>High Profit-Low Cost Scenario</t>
  </si>
  <si>
    <t>Low Profit-High Cost Scenario</t>
  </si>
  <si>
    <t>Summary of Sensitivity Analysis</t>
  </si>
  <si>
    <t>Optimal PUs</t>
  </si>
  <si>
    <t>Original</t>
  </si>
  <si>
    <t>High Profit</t>
  </si>
  <si>
    <t>Low Profit</t>
  </si>
  <si>
    <t>High Cost</t>
  </si>
  <si>
    <t>Low Cost</t>
  </si>
  <si>
    <t>High Profit-High Cost</t>
  </si>
  <si>
    <t>Low Profit-Low Cost</t>
  </si>
  <si>
    <t>High Profit-Low Cost</t>
  </si>
  <si>
    <t>Low Profit-High Cost</t>
  </si>
  <si>
    <t>Demand @ 120,000 |6 Processing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</si>
</sst>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_);[Red]\(&quot;£&quot;#,##0.00\)"/>
    <numFmt numFmtId="165" formatCode="_(&quot;£&quot;* #,##0.00_);_(&quot;£&quot;* \(#,##0.00\);_(&quot;£&quot;* &quot;-&quot;??_);_(@_)"/>
    <numFmt numFmtId="167" formatCode="&quot;£&quot;#,##0.00"/>
    <numFmt numFmtId="169" formatCode="_-[$£-809]* #,##0.00_-;\-[$£-809]* #,##0.00_-;_-[$£-809]* &quot;-&quot;??_-;_-@_-"/>
  </numFmts>
  <fonts count="1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/>
      <right style="medium">
        <color indexed="64"/>
      </right>
      <top style="medium">
        <color indexed="64"/>
      </top>
      <bottom style="thick">
        <color theme="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10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7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5" fontId="4" fillId="0" borderId="1" xfId="1" applyFont="1" applyBorder="1"/>
    <xf numFmtId="0" fontId="0" fillId="0" borderId="1" xfId="0" applyBorder="1"/>
    <xf numFmtId="0" fontId="0" fillId="0" borderId="6" xfId="0" applyBorder="1" applyAlignment="1">
      <alignment horizontal="center"/>
    </xf>
    <xf numFmtId="0" fontId="7" fillId="0" borderId="0" xfId="0" applyFont="1"/>
    <xf numFmtId="0" fontId="6" fillId="0" borderId="0" xfId="0" applyFont="1"/>
    <xf numFmtId="167" fontId="0" fillId="0" borderId="0" xfId="0" applyNumberFormat="1"/>
    <xf numFmtId="0" fontId="8" fillId="0" borderId="0" xfId="0" applyFont="1"/>
    <xf numFmtId="167" fontId="0" fillId="0" borderId="6" xfId="0" applyNumberFormat="1" applyBorder="1" applyAlignment="1">
      <alignment wrapText="1"/>
    </xf>
    <xf numFmtId="0" fontId="10" fillId="0" borderId="0" xfId="0" applyFont="1"/>
    <xf numFmtId="3" fontId="6" fillId="0" borderId="0" xfId="0" applyNumberFormat="1" applyFont="1"/>
    <xf numFmtId="0" fontId="9" fillId="0" borderId="0" xfId="0" applyFont="1"/>
    <xf numFmtId="3" fontId="4" fillId="0" borderId="0" xfId="0" applyNumberFormat="1" applyFont="1"/>
    <xf numFmtId="0" fontId="5" fillId="0" borderId="0" xfId="0" applyFont="1"/>
    <xf numFmtId="3" fontId="4" fillId="0" borderId="7" xfId="0" applyNumberFormat="1" applyFont="1" applyBorder="1" applyAlignment="1">
      <alignment horizontal="center"/>
    </xf>
    <xf numFmtId="164" fontId="0" fillId="0" borderId="0" xfId="0" applyNumberFormat="1"/>
    <xf numFmtId="0" fontId="3" fillId="0" borderId="5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4" applyFill="1" applyBorder="1" applyAlignment="1"/>
    <xf numFmtId="169" fontId="0" fillId="0" borderId="1" xfId="1" applyNumberFormat="1" applyFont="1" applyBorder="1"/>
    <xf numFmtId="169" fontId="0" fillId="0" borderId="0" xfId="0" applyNumberFormat="1" applyAlignment="1">
      <alignment horizontal="center" vertical="center"/>
    </xf>
    <xf numFmtId="169" fontId="0" fillId="0" borderId="0" xfId="1" applyNumberFormat="1" applyFont="1" applyFill="1" applyBorder="1"/>
    <xf numFmtId="0" fontId="0" fillId="0" borderId="1" xfId="0" applyBorder="1" applyAlignment="1">
      <alignment horizontal="center" vertical="center"/>
    </xf>
    <xf numFmtId="169" fontId="0" fillId="0" borderId="1" xfId="1" applyNumberFormat="1" applyFont="1" applyFill="1" applyBorder="1" applyAlignment="1">
      <alignment horizontal="center"/>
    </xf>
    <xf numFmtId="16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0" fontId="1" fillId="0" borderId="0" xfId="4" applyFill="1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169" fontId="0" fillId="0" borderId="0" xfId="1" applyNumberFormat="1" applyFont="1" applyFill="1" applyBorder="1" applyAlignment="1">
      <alignment horizontal="center"/>
    </xf>
    <xf numFmtId="169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6" xfId="0" applyNumberFormat="1" applyBorder="1" applyAlignment="1">
      <alignment horizontal="center" vertical="center"/>
    </xf>
    <xf numFmtId="0" fontId="0" fillId="0" borderId="6" xfId="1" applyNumberFormat="1" applyFont="1" applyFill="1" applyBorder="1" applyAlignment="1">
      <alignment horizontal="center"/>
    </xf>
    <xf numFmtId="9" fontId="0" fillId="0" borderId="6" xfId="2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9" fontId="0" fillId="0" borderId="0" xfId="0" applyNumberFormat="1" applyFill="1" applyBorder="1"/>
    <xf numFmtId="3" fontId="4" fillId="0" borderId="1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0" borderId="12" xfId="0" applyFont="1" applyBorder="1" applyAlignment="1">
      <alignment horizontal="right"/>
    </xf>
    <xf numFmtId="167" fontId="13" fillId="0" borderId="13" xfId="0" applyNumberFormat="1" applyFont="1" applyBorder="1" applyAlignment="1">
      <alignment horizontal="center"/>
    </xf>
    <xf numFmtId="3" fontId="0" fillId="0" borderId="7" xfId="0" applyNumberFormat="1" applyBorder="1" applyAlignment="1">
      <alignment horizontal="center" vertical="center"/>
    </xf>
    <xf numFmtId="0" fontId="3" fillId="5" borderId="12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165" fontId="4" fillId="0" borderId="7" xfId="1" applyFont="1" applyBorder="1"/>
    <xf numFmtId="0" fontId="3" fillId="5" borderId="16" xfId="0" applyFont="1" applyFill="1" applyBorder="1" applyAlignment="1">
      <alignment horizontal="center"/>
    </xf>
    <xf numFmtId="0" fontId="3" fillId="0" borderId="17" xfId="0" applyFont="1" applyBorder="1" applyAlignment="1">
      <alignment horizontal="right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2" fillId="2" borderId="2" xfId="4" applyFont="1" applyBorder="1" applyAlignment="1">
      <alignment horizontal="center"/>
    </xf>
    <xf numFmtId="0" fontId="12" fillId="2" borderId="3" xfId="4" applyFont="1" applyBorder="1" applyAlignment="1">
      <alignment horizontal="center"/>
    </xf>
    <xf numFmtId="0" fontId="12" fillId="3" borderId="2" xfId="5" applyFont="1" applyBorder="1" applyAlignment="1">
      <alignment horizontal="center"/>
    </xf>
    <xf numFmtId="0" fontId="12" fillId="3" borderId="4" xfId="5" applyFont="1" applyBorder="1" applyAlignment="1">
      <alignment horizontal="center"/>
    </xf>
    <xf numFmtId="0" fontId="12" fillId="3" borderId="3" xfId="5" applyFont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8" xfId="0" applyBorder="1"/>
    <xf numFmtId="169" fontId="0" fillId="0" borderId="19" xfId="1" applyNumberFormat="1" applyFont="1" applyBorder="1"/>
    <xf numFmtId="0" fontId="0" fillId="0" borderId="3" xfId="0" applyBorder="1"/>
    <xf numFmtId="169" fontId="0" fillId="0" borderId="2" xfId="1" applyNumberFormat="1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5" borderId="11" xfId="0" applyFill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12" xfId="3" applyFill="1" applyBorder="1" applyAlignment="1">
      <alignment horizontal="center" vertical="center"/>
    </xf>
    <xf numFmtId="0" fontId="11" fillId="0" borderId="14" xfId="3" applyFill="1" applyBorder="1" applyAlignment="1">
      <alignment horizontal="center" vertical="center"/>
    </xf>
    <xf numFmtId="0" fontId="11" fillId="0" borderId="15" xfId="3" applyFill="1" applyBorder="1" applyAlignment="1">
      <alignment horizontal="center" vertical="center"/>
    </xf>
    <xf numFmtId="169" fontId="13" fillId="0" borderId="19" xfId="1" applyNumberFormat="1" applyFont="1" applyBorder="1"/>
    <xf numFmtId="169" fontId="13" fillId="0" borderId="2" xfId="1" applyNumberFormat="1" applyFont="1" applyBorder="1"/>
    <xf numFmtId="169" fontId="0" fillId="0" borderId="1" xfId="0" applyNumberFormat="1" applyBorder="1"/>
    <xf numFmtId="0" fontId="1" fillId="7" borderId="1" xfId="6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0" fillId="5" borderId="0" xfId="0" applyFill="1" applyBorder="1"/>
    <xf numFmtId="0" fontId="0" fillId="0" borderId="29" xfId="0" applyBorder="1"/>
    <xf numFmtId="0" fontId="0" fillId="0" borderId="0" xfId="0" applyBorder="1"/>
    <xf numFmtId="0" fontId="0" fillId="0" borderId="30" xfId="0" applyBorder="1"/>
    <xf numFmtId="0" fontId="3" fillId="0" borderId="29" xfId="0" applyFont="1" applyFill="1" applyBorder="1" applyAlignment="1">
      <alignment horizontal="center"/>
    </xf>
    <xf numFmtId="0" fontId="1" fillId="7" borderId="18" xfId="6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3" fillId="7" borderId="18" xfId="0" applyFont="1" applyFill="1" applyBorder="1" applyAlignment="1">
      <alignment horizontal="center"/>
    </xf>
    <xf numFmtId="0" fontId="13" fillId="7" borderId="31" xfId="0" applyFont="1" applyFill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1" fillId="0" borderId="35" xfId="3" applyFill="1" applyBorder="1" applyAlignment="1">
      <alignment horizontal="center" vertical="center"/>
    </xf>
    <xf numFmtId="0" fontId="11" fillId="0" borderId="36" xfId="3" applyFill="1" applyBorder="1" applyAlignment="1">
      <alignment horizontal="center" vertical="center"/>
    </xf>
    <xf numFmtId="0" fontId="11" fillId="0" borderId="37" xfId="3" applyFill="1" applyBorder="1" applyAlignment="1">
      <alignment horizontal="center" vertical="center"/>
    </xf>
    <xf numFmtId="0" fontId="3" fillId="0" borderId="38" xfId="0" applyFont="1" applyBorder="1" applyAlignment="1">
      <alignment horizontal="center"/>
    </xf>
    <xf numFmtId="0" fontId="3" fillId="6" borderId="31" xfId="0" applyFont="1" applyFill="1" applyBorder="1" applyAlignment="1">
      <alignment horizontal="center"/>
    </xf>
    <xf numFmtId="0" fontId="3" fillId="6" borderId="39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3" fontId="0" fillId="0" borderId="18" xfId="0" applyNumberFormat="1" applyBorder="1" applyAlignment="1">
      <alignment horizontal="center" vertical="center"/>
    </xf>
    <xf numFmtId="167" fontId="14" fillId="0" borderId="19" xfId="0" applyNumberFormat="1" applyFont="1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3" fontId="0" fillId="0" borderId="40" xfId="0" applyNumberFormat="1" applyBorder="1" applyAlignment="1">
      <alignment horizontal="center" vertical="center"/>
    </xf>
    <xf numFmtId="167" fontId="0" fillId="0" borderId="41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40" xfId="0" applyNumberFormat="1" applyBorder="1" applyAlignment="1">
      <alignment horizontal="center"/>
    </xf>
    <xf numFmtId="0" fontId="13" fillId="0" borderId="18" xfId="0" applyFont="1" applyBorder="1"/>
  </cellXfs>
  <cellStyles count="7">
    <cellStyle name="20% - Accent4" xfId="6" builtinId="42"/>
    <cellStyle name="60% - Accent1" xfId="4" builtinId="32"/>
    <cellStyle name="60% - Accent2" xfId="5" builtinId="36"/>
    <cellStyle name="Currency" xfId="1" builtinId="4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8035-24F9-AE41-8417-D1368BF8FE21}">
  <dimension ref="B3:V160"/>
  <sheetViews>
    <sheetView tabSelected="1" topLeftCell="A96" zoomScale="70" zoomScaleNormal="70" workbookViewId="0">
      <selection activeCell="E122" sqref="E122"/>
    </sheetView>
  </sheetViews>
  <sheetFormatPr defaultColWidth="10.6640625" defaultRowHeight="16" x14ac:dyDescent="0.4"/>
  <cols>
    <col min="1" max="1" width="10.75" customWidth="1"/>
    <col min="2" max="2" width="28.5" customWidth="1"/>
    <col min="3" max="3" width="21.25" bestFit="1" customWidth="1"/>
    <col min="4" max="4" width="19.9140625" bestFit="1" customWidth="1"/>
    <col min="5" max="5" width="15.58203125" customWidth="1"/>
    <col min="6" max="6" width="17.83203125" bestFit="1" customWidth="1"/>
    <col min="7" max="7" width="15.1640625" bestFit="1" customWidth="1"/>
    <col min="8" max="8" width="20.33203125" bestFit="1" customWidth="1"/>
    <col min="9" max="9" width="16.75" bestFit="1" customWidth="1"/>
    <col min="10" max="10" width="4.4140625" customWidth="1"/>
    <col min="11" max="11" width="15" customWidth="1"/>
    <col min="12" max="12" width="14.08203125" bestFit="1" customWidth="1"/>
    <col min="13" max="13" width="12" bestFit="1" customWidth="1"/>
    <col min="14" max="14" width="16.75" bestFit="1" customWidth="1"/>
    <col min="15" max="15" width="12" bestFit="1" customWidth="1"/>
    <col min="16" max="16" width="9.9140625" bestFit="1" customWidth="1"/>
    <col min="17" max="18" width="19.6640625" bestFit="1" customWidth="1"/>
    <col min="19" max="19" width="19.1640625" customWidth="1"/>
  </cols>
  <sheetData>
    <row r="3" spans="2:8" x14ac:dyDescent="0.4">
      <c r="B3" s="65" t="s">
        <v>10</v>
      </c>
      <c r="C3" s="66"/>
      <c r="E3" s="33"/>
      <c r="F3" s="33"/>
      <c r="G3" s="22"/>
      <c r="H3" s="23"/>
    </row>
    <row r="4" spans="2:8" x14ac:dyDescent="0.4">
      <c r="B4" s="6" t="s">
        <v>11</v>
      </c>
      <c r="C4" s="24">
        <v>1.7</v>
      </c>
      <c r="E4" s="34"/>
      <c r="F4" s="26"/>
      <c r="G4" s="25"/>
    </row>
    <row r="5" spans="2:8" x14ac:dyDescent="0.4">
      <c r="B5" s="6" t="s">
        <v>12</v>
      </c>
      <c r="C5" s="24">
        <v>16</v>
      </c>
      <c r="E5" s="34"/>
      <c r="F5" s="26"/>
      <c r="G5" s="25"/>
      <c r="H5" s="26"/>
    </row>
    <row r="6" spans="2:8" x14ac:dyDescent="0.4">
      <c r="B6" s="6" t="s">
        <v>13</v>
      </c>
      <c r="C6" s="6">
        <v>20000</v>
      </c>
      <c r="E6" s="34"/>
      <c r="F6" s="34"/>
      <c r="G6" s="25"/>
    </row>
    <row r="7" spans="2:8" x14ac:dyDescent="0.4">
      <c r="F7" s="26"/>
      <c r="G7" s="25"/>
    </row>
    <row r="8" spans="2:8" x14ac:dyDescent="0.4">
      <c r="E8" s="42"/>
      <c r="F8" s="35"/>
      <c r="G8" s="36"/>
      <c r="H8" s="37"/>
    </row>
    <row r="9" spans="2:8" x14ac:dyDescent="0.4">
      <c r="B9" s="67" t="s">
        <v>14</v>
      </c>
      <c r="C9" s="68"/>
      <c r="D9" s="68"/>
      <c r="E9" s="69"/>
      <c r="F9" s="38"/>
      <c r="G9" s="39"/>
      <c r="H9" s="40"/>
    </row>
    <row r="10" spans="2:8" x14ac:dyDescent="0.4">
      <c r="B10" s="1" t="s">
        <v>5</v>
      </c>
      <c r="C10" s="27" t="s">
        <v>14</v>
      </c>
      <c r="D10" s="28" t="s">
        <v>2</v>
      </c>
      <c r="E10" s="29" t="s">
        <v>0</v>
      </c>
      <c r="F10" s="41"/>
      <c r="G10" s="42"/>
      <c r="H10" s="40"/>
    </row>
    <row r="11" spans="2:8" x14ac:dyDescent="0.4">
      <c r="B11" s="1">
        <v>2</v>
      </c>
      <c r="C11" s="30">
        <v>40000</v>
      </c>
      <c r="D11" s="31">
        <v>0.15</v>
      </c>
      <c r="E11" s="32">
        <v>0.15</v>
      </c>
      <c r="F11" s="38"/>
      <c r="G11" s="42"/>
      <c r="H11" s="40"/>
    </row>
    <row r="12" spans="2:8" x14ac:dyDescent="0.4">
      <c r="B12" s="1">
        <v>3</v>
      </c>
      <c r="C12" s="21">
        <v>60000</v>
      </c>
      <c r="D12" s="1">
        <v>0.15</v>
      </c>
      <c r="E12" s="32">
        <v>0.15</v>
      </c>
      <c r="F12" s="41"/>
      <c r="G12" s="39"/>
      <c r="H12" s="40"/>
    </row>
    <row r="13" spans="2:8" x14ac:dyDescent="0.4">
      <c r="B13" s="1">
        <v>4</v>
      </c>
      <c r="C13" s="30">
        <v>80000</v>
      </c>
      <c r="D13" s="1">
        <v>0.25</v>
      </c>
      <c r="E13" s="32">
        <v>0.25</v>
      </c>
      <c r="F13" s="38"/>
      <c r="G13" s="39"/>
      <c r="H13" s="40"/>
    </row>
    <row r="14" spans="2:8" x14ac:dyDescent="0.4">
      <c r="B14" s="1">
        <v>5</v>
      </c>
      <c r="C14" s="21">
        <v>100000</v>
      </c>
      <c r="D14" s="31">
        <v>0.25</v>
      </c>
      <c r="E14" s="32">
        <v>0.25</v>
      </c>
      <c r="F14" s="41"/>
      <c r="G14" s="39"/>
      <c r="H14" s="40"/>
    </row>
    <row r="15" spans="2:8" x14ac:dyDescent="0.4">
      <c r="B15" s="7">
        <v>6</v>
      </c>
      <c r="C15" s="43">
        <v>120000</v>
      </c>
      <c r="D15" s="44">
        <v>0.15</v>
      </c>
      <c r="E15" s="45">
        <v>0.15</v>
      </c>
    </row>
    <row r="16" spans="2:8" x14ac:dyDescent="0.4">
      <c r="B16" s="1">
        <v>7</v>
      </c>
      <c r="C16" s="21">
        <v>140000</v>
      </c>
      <c r="D16" s="31">
        <v>0.05</v>
      </c>
      <c r="E16" s="32">
        <v>0.05</v>
      </c>
    </row>
    <row r="17" spans="2:18" ht="16.5" thickBot="1" x14ac:dyDescent="0.45">
      <c r="B17" s="48"/>
      <c r="C17" s="49"/>
      <c r="D17" s="50"/>
    </row>
    <row r="18" spans="2:18" ht="20" thickBot="1" x14ac:dyDescent="0.45">
      <c r="B18" s="112" t="s">
        <v>25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4"/>
    </row>
    <row r="19" spans="2:18" ht="16.5" thickTop="1" x14ac:dyDescent="0.4">
      <c r="B19" s="115"/>
      <c r="C19" s="20"/>
      <c r="D19" s="20"/>
      <c r="E19" s="20"/>
      <c r="F19" s="20"/>
      <c r="G19" s="20"/>
      <c r="H19" s="20"/>
      <c r="I19" s="20"/>
      <c r="J19" s="101"/>
      <c r="K19" s="101"/>
      <c r="L19" s="101"/>
      <c r="M19" s="101"/>
      <c r="N19" s="101"/>
      <c r="O19" s="101"/>
      <c r="P19" s="101"/>
      <c r="Q19" s="101"/>
      <c r="R19" s="102"/>
    </row>
    <row r="20" spans="2:18" x14ac:dyDescent="0.4">
      <c r="B20" s="116" t="s">
        <v>15</v>
      </c>
      <c r="C20" s="63"/>
      <c r="D20" s="63"/>
      <c r="E20" s="63"/>
      <c r="F20" s="63"/>
      <c r="G20" s="63"/>
      <c r="H20" s="63"/>
      <c r="I20" s="64"/>
      <c r="J20" s="101"/>
      <c r="K20" s="62" t="s">
        <v>18</v>
      </c>
      <c r="L20" s="63"/>
      <c r="M20" s="63"/>
      <c r="N20" s="63"/>
      <c r="O20" s="63"/>
      <c r="P20" s="63"/>
      <c r="Q20" s="63"/>
      <c r="R20" s="117"/>
    </row>
    <row r="21" spans="2:18" x14ac:dyDescent="0.4">
      <c r="B21" s="105" t="s">
        <v>1</v>
      </c>
      <c r="C21" s="3" t="s">
        <v>2</v>
      </c>
      <c r="D21" s="3" t="s">
        <v>3</v>
      </c>
      <c r="E21" s="3" t="s">
        <v>20</v>
      </c>
      <c r="F21" s="3" t="s">
        <v>21</v>
      </c>
      <c r="G21" s="3" t="s">
        <v>22</v>
      </c>
      <c r="H21" s="3" t="s">
        <v>23</v>
      </c>
      <c r="I21" s="3" t="s">
        <v>24</v>
      </c>
      <c r="J21" s="101"/>
      <c r="K21" s="3" t="s">
        <v>1</v>
      </c>
      <c r="L21" s="3" t="s">
        <v>2</v>
      </c>
      <c r="M21" s="3" t="s">
        <v>3</v>
      </c>
      <c r="N21" s="3" t="s">
        <v>20</v>
      </c>
      <c r="O21" s="3" t="s">
        <v>21</v>
      </c>
      <c r="P21" s="3" t="s">
        <v>22</v>
      </c>
      <c r="Q21" s="3" t="s">
        <v>23</v>
      </c>
      <c r="R21" s="118" t="s">
        <v>24</v>
      </c>
    </row>
    <row r="22" spans="2:18" x14ac:dyDescent="0.4">
      <c r="B22" s="119">
        <f>C11</f>
        <v>40000</v>
      </c>
      <c r="C22" s="1">
        <f>D11</f>
        <v>0.15</v>
      </c>
      <c r="D22" s="30">
        <f>2*20000</f>
        <v>40000</v>
      </c>
      <c r="E22" s="51">
        <f>MIN(B22,D22)</f>
        <v>40000</v>
      </c>
      <c r="F22" s="4">
        <f>MIN(B22,D22)*1.7/1000</f>
        <v>68</v>
      </c>
      <c r="G22" s="4">
        <f>2*$C$5</f>
        <v>32</v>
      </c>
      <c r="H22" s="4">
        <f>F22-G22</f>
        <v>36</v>
      </c>
      <c r="I22" s="4">
        <f>H22*C22</f>
        <v>5.3999999999999995</v>
      </c>
      <c r="J22" s="101"/>
      <c r="K22" s="21">
        <f>B42</f>
        <v>40000</v>
      </c>
      <c r="L22" s="1">
        <f>C42</f>
        <v>0.15</v>
      </c>
      <c r="M22" s="30">
        <f>5*20000</f>
        <v>100000</v>
      </c>
      <c r="N22" s="51">
        <f>MIN(K22,M22)</f>
        <v>40000</v>
      </c>
      <c r="O22" s="4">
        <f>MIN(K22,M22)*1.7/1000</f>
        <v>68</v>
      </c>
      <c r="P22" s="5">
        <f>5*$C$5</f>
        <v>80</v>
      </c>
      <c r="Q22" s="70">
        <f>O22-P22</f>
        <v>-12</v>
      </c>
      <c r="R22" s="120">
        <f>L22*Q22</f>
        <v>-1.7999999999999998</v>
      </c>
    </row>
    <row r="23" spans="2:18" x14ac:dyDescent="0.4">
      <c r="B23" s="119">
        <f>C12</f>
        <v>60000</v>
      </c>
      <c r="C23" s="1">
        <f t="shared" ref="C23:C27" si="0">D12</f>
        <v>0.15</v>
      </c>
      <c r="D23" s="30">
        <f t="shared" ref="D23:D27" si="1">2*20000</f>
        <v>40000</v>
      </c>
      <c r="E23" s="51">
        <f>MIN(B23,D23)</f>
        <v>40000</v>
      </c>
      <c r="F23" s="4">
        <f t="shared" ref="F23:F27" si="2">MIN(B23,D23)*1.7/1000</f>
        <v>68</v>
      </c>
      <c r="G23" s="4">
        <f t="shared" ref="G23:G27" si="3">2*$C$5</f>
        <v>32</v>
      </c>
      <c r="H23" s="4">
        <f t="shared" ref="H23:H27" si="4">F23-G23</f>
        <v>36</v>
      </c>
      <c r="I23" s="4">
        <f>H23*C23</f>
        <v>5.3999999999999995</v>
      </c>
      <c r="J23" s="101"/>
      <c r="K23" s="21">
        <f>B43</f>
        <v>60000</v>
      </c>
      <c r="L23" s="1">
        <f>C43</f>
        <v>0.15</v>
      </c>
      <c r="M23" s="30">
        <f t="shared" ref="M23:M27" si="5">5*20000</f>
        <v>100000</v>
      </c>
      <c r="N23" s="51">
        <f t="shared" ref="N23:N27" si="6">MIN(K23,M23)</f>
        <v>60000</v>
      </c>
      <c r="O23" s="4">
        <f t="shared" ref="O23:O27" si="7">MIN(K23,M23)*1.7/1000</f>
        <v>102</v>
      </c>
      <c r="P23" s="5">
        <f t="shared" ref="P23:P27" si="8">5*$C$5</f>
        <v>80</v>
      </c>
      <c r="Q23" s="4">
        <f t="shared" ref="Q23:Q27" si="9">O23-P23</f>
        <v>22</v>
      </c>
      <c r="R23" s="121">
        <f t="shared" ref="R23:R27" si="10">L23*Q23</f>
        <v>3.3</v>
      </c>
    </row>
    <row r="24" spans="2:18" x14ac:dyDescent="0.4">
      <c r="B24" s="119">
        <f t="shared" ref="B23:B27" si="11">C13</f>
        <v>80000</v>
      </c>
      <c r="C24" s="1">
        <f t="shared" si="0"/>
        <v>0.25</v>
      </c>
      <c r="D24" s="30">
        <f t="shared" si="1"/>
        <v>40000</v>
      </c>
      <c r="E24" s="51">
        <f t="shared" ref="E24:E27" si="12">MIN(B24,D24)</f>
        <v>40000</v>
      </c>
      <c r="F24" s="4">
        <f t="shared" si="2"/>
        <v>68</v>
      </c>
      <c r="G24" s="4">
        <f t="shared" si="3"/>
        <v>32</v>
      </c>
      <c r="H24" s="4">
        <f>F24-G24</f>
        <v>36</v>
      </c>
      <c r="I24" s="4">
        <f t="shared" ref="I24:I27" si="13">H24*C24</f>
        <v>9</v>
      </c>
      <c r="J24" s="101"/>
      <c r="K24" s="21">
        <f>B44</f>
        <v>80000</v>
      </c>
      <c r="L24" s="1">
        <f>C44</f>
        <v>0.25</v>
      </c>
      <c r="M24" s="30">
        <f t="shared" si="5"/>
        <v>100000</v>
      </c>
      <c r="N24" s="51">
        <f t="shared" si="6"/>
        <v>80000</v>
      </c>
      <c r="O24" s="4">
        <f t="shared" si="7"/>
        <v>136</v>
      </c>
      <c r="P24" s="5">
        <f t="shared" si="8"/>
        <v>80</v>
      </c>
      <c r="Q24" s="4">
        <f t="shared" si="9"/>
        <v>56</v>
      </c>
      <c r="R24" s="121">
        <f t="shared" si="10"/>
        <v>14</v>
      </c>
    </row>
    <row r="25" spans="2:18" x14ac:dyDescent="0.4">
      <c r="B25" s="119">
        <f t="shared" si="11"/>
        <v>100000</v>
      </c>
      <c r="C25" s="1">
        <f t="shared" si="0"/>
        <v>0.25</v>
      </c>
      <c r="D25" s="30">
        <f t="shared" si="1"/>
        <v>40000</v>
      </c>
      <c r="E25" s="51">
        <f t="shared" si="12"/>
        <v>40000</v>
      </c>
      <c r="F25" s="4">
        <f t="shared" si="2"/>
        <v>68</v>
      </c>
      <c r="G25" s="4">
        <f t="shared" si="3"/>
        <v>32</v>
      </c>
      <c r="H25" s="4">
        <f t="shared" si="4"/>
        <v>36</v>
      </c>
      <c r="I25" s="4">
        <f t="shared" si="13"/>
        <v>9</v>
      </c>
      <c r="J25" s="101"/>
      <c r="K25" s="21">
        <f>B45</f>
        <v>100000</v>
      </c>
      <c r="L25" s="1">
        <f>C45</f>
        <v>0.25</v>
      </c>
      <c r="M25" s="30">
        <f t="shared" si="5"/>
        <v>100000</v>
      </c>
      <c r="N25" s="51">
        <f t="shared" si="6"/>
        <v>100000</v>
      </c>
      <c r="O25" s="4">
        <f t="shared" si="7"/>
        <v>170</v>
      </c>
      <c r="P25" s="5">
        <f t="shared" si="8"/>
        <v>80</v>
      </c>
      <c r="Q25" s="4">
        <f t="shared" si="9"/>
        <v>90</v>
      </c>
      <c r="R25" s="121">
        <f t="shared" si="10"/>
        <v>22.5</v>
      </c>
    </row>
    <row r="26" spans="2:18" x14ac:dyDescent="0.4">
      <c r="B26" s="119">
        <f t="shared" si="11"/>
        <v>120000</v>
      </c>
      <c r="C26" s="1">
        <f t="shared" si="0"/>
        <v>0.15</v>
      </c>
      <c r="D26" s="30">
        <f t="shared" si="1"/>
        <v>40000</v>
      </c>
      <c r="E26" s="51">
        <f>MIN(B26,D26)</f>
        <v>40000</v>
      </c>
      <c r="F26" s="4">
        <f t="shared" si="2"/>
        <v>68</v>
      </c>
      <c r="G26" s="4">
        <f t="shared" si="3"/>
        <v>32</v>
      </c>
      <c r="H26" s="4">
        <f t="shared" si="4"/>
        <v>36</v>
      </c>
      <c r="I26" s="4">
        <f t="shared" si="13"/>
        <v>5.3999999999999995</v>
      </c>
      <c r="J26" s="101"/>
      <c r="K26" s="21">
        <f>B46</f>
        <v>120000</v>
      </c>
      <c r="L26" s="2">
        <f>C46</f>
        <v>0.15</v>
      </c>
      <c r="M26" s="30">
        <f t="shared" si="5"/>
        <v>100000</v>
      </c>
      <c r="N26" s="51">
        <f t="shared" si="6"/>
        <v>100000</v>
      </c>
      <c r="O26" s="4">
        <f t="shared" si="7"/>
        <v>170</v>
      </c>
      <c r="P26" s="5">
        <f t="shared" si="8"/>
        <v>80</v>
      </c>
      <c r="Q26" s="4">
        <f t="shared" si="9"/>
        <v>90</v>
      </c>
      <c r="R26" s="121">
        <f t="shared" si="10"/>
        <v>13.5</v>
      </c>
    </row>
    <row r="27" spans="2:18" ht="16.5" thickBot="1" x14ac:dyDescent="0.45">
      <c r="B27" s="122">
        <f t="shared" si="11"/>
        <v>140000</v>
      </c>
      <c r="C27" s="46">
        <f t="shared" si="0"/>
        <v>0.05</v>
      </c>
      <c r="D27" s="55">
        <f t="shared" si="1"/>
        <v>40000</v>
      </c>
      <c r="E27" s="18">
        <f t="shared" si="12"/>
        <v>40000</v>
      </c>
      <c r="F27" s="52">
        <f t="shared" si="2"/>
        <v>68</v>
      </c>
      <c r="G27" s="52">
        <f t="shared" si="3"/>
        <v>32</v>
      </c>
      <c r="H27" s="52">
        <f t="shared" si="4"/>
        <v>36</v>
      </c>
      <c r="I27" s="52">
        <f>H27*C27</f>
        <v>1.8</v>
      </c>
      <c r="J27" s="101"/>
      <c r="K27" s="47">
        <f>B47</f>
        <v>140000</v>
      </c>
      <c r="L27" s="42">
        <v>0.05</v>
      </c>
      <c r="M27" s="55">
        <f t="shared" si="5"/>
        <v>100000</v>
      </c>
      <c r="N27" s="18">
        <f t="shared" si="6"/>
        <v>100000</v>
      </c>
      <c r="O27" s="52">
        <f t="shared" si="7"/>
        <v>170</v>
      </c>
      <c r="P27" s="59">
        <f t="shared" si="8"/>
        <v>80</v>
      </c>
      <c r="Q27" s="52">
        <f t="shared" si="9"/>
        <v>90</v>
      </c>
      <c r="R27" s="123">
        <f t="shared" si="10"/>
        <v>4.5</v>
      </c>
    </row>
    <row r="28" spans="2:18" ht="16.5" thickBot="1" x14ac:dyDescent="0.45">
      <c r="B28" s="56"/>
      <c r="C28" s="57"/>
      <c r="D28" s="57"/>
      <c r="E28" s="57"/>
      <c r="F28" s="57"/>
      <c r="G28" s="58"/>
      <c r="H28" s="53" t="s">
        <v>4</v>
      </c>
      <c r="I28" s="54">
        <f>SUMPRODUCT(H22:H27,C22:C27)</f>
        <v>35.999999999999993</v>
      </c>
      <c r="J28" s="101"/>
      <c r="K28" s="56"/>
      <c r="L28" s="57"/>
      <c r="M28" s="57"/>
      <c r="N28" s="57"/>
      <c r="O28" s="57"/>
      <c r="P28" s="60"/>
      <c r="Q28" s="61" t="s">
        <v>4</v>
      </c>
      <c r="R28" s="54">
        <f>SUMPRODUCT(Q22:Q27,L22:L27)</f>
        <v>56</v>
      </c>
    </row>
    <row r="29" spans="2:18" x14ac:dyDescent="0.4"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2"/>
    </row>
    <row r="30" spans="2:18" x14ac:dyDescent="0.4">
      <c r="B30" s="116" t="s">
        <v>16</v>
      </c>
      <c r="C30" s="63"/>
      <c r="D30" s="63"/>
      <c r="E30" s="63"/>
      <c r="F30" s="63"/>
      <c r="G30" s="63"/>
      <c r="H30" s="63"/>
      <c r="I30" s="64"/>
      <c r="J30" s="101"/>
      <c r="K30" s="62" t="s">
        <v>55</v>
      </c>
      <c r="L30" s="63"/>
      <c r="M30" s="63"/>
      <c r="N30" s="63"/>
      <c r="O30" s="63"/>
      <c r="P30" s="63"/>
      <c r="Q30" s="63"/>
      <c r="R30" s="117"/>
    </row>
    <row r="31" spans="2:18" x14ac:dyDescent="0.4">
      <c r="B31" s="105" t="s">
        <v>1</v>
      </c>
      <c r="C31" s="3" t="s">
        <v>2</v>
      </c>
      <c r="D31" s="3" t="s">
        <v>3</v>
      </c>
      <c r="E31" s="3" t="s">
        <v>20</v>
      </c>
      <c r="F31" s="3" t="s">
        <v>21</v>
      </c>
      <c r="G31" s="3" t="s">
        <v>22</v>
      </c>
      <c r="H31" s="3" t="s">
        <v>23</v>
      </c>
      <c r="I31" s="3" t="s">
        <v>24</v>
      </c>
      <c r="J31" s="101"/>
      <c r="K31" s="3" t="s">
        <v>1</v>
      </c>
      <c r="L31" s="3" t="s">
        <v>2</v>
      </c>
      <c r="M31" s="3" t="s">
        <v>3</v>
      </c>
      <c r="N31" s="3" t="s">
        <v>20</v>
      </c>
      <c r="O31" s="3" t="s">
        <v>21</v>
      </c>
      <c r="P31" s="3" t="s">
        <v>22</v>
      </c>
      <c r="Q31" s="3" t="s">
        <v>23</v>
      </c>
      <c r="R31" s="118" t="s">
        <v>24</v>
      </c>
    </row>
    <row r="32" spans="2:18" x14ac:dyDescent="0.4">
      <c r="B32" s="124">
        <f>B22</f>
        <v>40000</v>
      </c>
      <c r="C32" s="1">
        <f>C22</f>
        <v>0.15</v>
      </c>
      <c r="D32" s="30">
        <f>3*20000</f>
        <v>60000</v>
      </c>
      <c r="E32" s="51">
        <f>MIN(B32,D32)</f>
        <v>40000</v>
      </c>
      <c r="F32" s="4">
        <f>MIN(B32,D32)*1.7/1000</f>
        <v>68</v>
      </c>
      <c r="G32" s="5">
        <f>3*$C$5</f>
        <v>48</v>
      </c>
      <c r="H32" s="4">
        <f>F32-G32</f>
        <v>20</v>
      </c>
      <c r="I32" s="4">
        <f>H32*C32</f>
        <v>3</v>
      </c>
      <c r="J32" s="101"/>
      <c r="K32" s="21">
        <f>K22</f>
        <v>40000</v>
      </c>
      <c r="L32" s="1">
        <f>L22</f>
        <v>0.15</v>
      </c>
      <c r="M32" s="30">
        <f>6*20000</f>
        <v>120000</v>
      </c>
      <c r="N32" s="51">
        <f>MIN(K32,M32)</f>
        <v>40000</v>
      </c>
      <c r="O32" s="4">
        <f>MIN(K32,M32)*1.7/1000</f>
        <v>68</v>
      </c>
      <c r="P32" s="5">
        <f>6*$C$5</f>
        <v>96</v>
      </c>
      <c r="Q32" s="70">
        <f>O32-P32</f>
        <v>-28</v>
      </c>
      <c r="R32" s="120">
        <f>Q32*L32</f>
        <v>-4.2</v>
      </c>
    </row>
    <row r="33" spans="2:18" x14ac:dyDescent="0.4">
      <c r="B33" s="124">
        <f t="shared" ref="B33:B38" si="14">B23</f>
        <v>60000</v>
      </c>
      <c r="C33" s="1">
        <f>C23</f>
        <v>0.15</v>
      </c>
      <c r="D33" s="30">
        <f t="shared" ref="D33:D37" si="15">3*20000</f>
        <v>60000</v>
      </c>
      <c r="E33" s="51">
        <f>MIN(B33,D33)</f>
        <v>60000</v>
      </c>
      <c r="F33" s="4">
        <f t="shared" ref="F33:F37" si="16">MIN(B33,D33)*1.7/1000</f>
        <v>102</v>
      </c>
      <c r="G33" s="5">
        <f t="shared" ref="G33:G37" si="17">3*$C$5</f>
        <v>48</v>
      </c>
      <c r="H33" s="4">
        <f t="shared" ref="H33:H37" si="18">F33-G33</f>
        <v>54</v>
      </c>
      <c r="I33" s="4">
        <f t="shared" ref="I33:I37" si="19">H33*C33</f>
        <v>8.1</v>
      </c>
      <c r="J33" s="101"/>
      <c r="K33" s="21">
        <f t="shared" ref="K33:K37" si="20">K23</f>
        <v>60000</v>
      </c>
      <c r="L33" s="1">
        <f>L23</f>
        <v>0.15</v>
      </c>
      <c r="M33" s="30">
        <f t="shared" ref="M33:M37" si="21">6*20000</f>
        <v>120000</v>
      </c>
      <c r="N33" s="51">
        <f t="shared" ref="N33:N37" si="22">MIN(K33,M33)</f>
        <v>60000</v>
      </c>
      <c r="O33" s="4">
        <f t="shared" ref="O33:O37" si="23">MIN(K33,M33)*1.7/1000</f>
        <v>102</v>
      </c>
      <c r="P33" s="5">
        <f t="shared" ref="P33:P37" si="24">6*$C$5</f>
        <v>96</v>
      </c>
      <c r="Q33" s="4">
        <f t="shared" ref="Q33:Q37" si="25">O33-P33</f>
        <v>6</v>
      </c>
      <c r="R33" s="121">
        <f t="shared" ref="R33:R37" si="26">Q33*L33</f>
        <v>0.89999999999999991</v>
      </c>
    </row>
    <row r="34" spans="2:18" x14ac:dyDescent="0.4">
      <c r="B34" s="124">
        <f t="shared" si="14"/>
        <v>80000</v>
      </c>
      <c r="C34" s="1">
        <f>C24</f>
        <v>0.25</v>
      </c>
      <c r="D34" s="30">
        <f t="shared" si="15"/>
        <v>60000</v>
      </c>
      <c r="E34" s="51">
        <f t="shared" ref="E34:E37" si="27">MIN(B34,D34)</f>
        <v>60000</v>
      </c>
      <c r="F34" s="4">
        <f t="shared" si="16"/>
        <v>102</v>
      </c>
      <c r="G34" s="5">
        <f t="shared" si="17"/>
        <v>48</v>
      </c>
      <c r="H34" s="4">
        <f t="shared" si="18"/>
        <v>54</v>
      </c>
      <c r="I34" s="4">
        <f t="shared" si="19"/>
        <v>13.5</v>
      </c>
      <c r="J34" s="101"/>
      <c r="K34" s="21">
        <f t="shared" si="20"/>
        <v>80000</v>
      </c>
      <c r="L34" s="1">
        <f>L24</f>
        <v>0.25</v>
      </c>
      <c r="M34" s="30">
        <f t="shared" si="21"/>
        <v>120000</v>
      </c>
      <c r="N34" s="51">
        <f t="shared" si="22"/>
        <v>80000</v>
      </c>
      <c r="O34" s="4">
        <f t="shared" si="23"/>
        <v>136</v>
      </c>
      <c r="P34" s="5">
        <f t="shared" si="24"/>
        <v>96</v>
      </c>
      <c r="Q34" s="4">
        <f t="shared" si="25"/>
        <v>40</v>
      </c>
      <c r="R34" s="121">
        <f t="shared" si="26"/>
        <v>10</v>
      </c>
    </row>
    <row r="35" spans="2:18" x14ac:dyDescent="0.4">
      <c r="B35" s="124">
        <f t="shared" si="14"/>
        <v>100000</v>
      </c>
      <c r="C35" s="1">
        <f>C25</f>
        <v>0.25</v>
      </c>
      <c r="D35" s="30">
        <f t="shared" si="15"/>
        <v>60000</v>
      </c>
      <c r="E35" s="51">
        <f t="shared" si="27"/>
        <v>60000</v>
      </c>
      <c r="F35" s="4">
        <f t="shared" si="16"/>
        <v>102</v>
      </c>
      <c r="G35" s="5">
        <f t="shared" si="17"/>
        <v>48</v>
      </c>
      <c r="H35" s="4">
        <f t="shared" si="18"/>
        <v>54</v>
      </c>
      <c r="I35" s="4">
        <f t="shared" si="19"/>
        <v>13.5</v>
      </c>
      <c r="J35" s="101"/>
      <c r="K35" s="21">
        <f t="shared" si="20"/>
        <v>100000</v>
      </c>
      <c r="L35" s="1">
        <f>L25</f>
        <v>0.25</v>
      </c>
      <c r="M35" s="30">
        <f t="shared" si="21"/>
        <v>120000</v>
      </c>
      <c r="N35" s="51">
        <f t="shared" si="22"/>
        <v>100000</v>
      </c>
      <c r="O35" s="4">
        <f t="shared" si="23"/>
        <v>170</v>
      </c>
      <c r="P35" s="5">
        <f t="shared" si="24"/>
        <v>96</v>
      </c>
      <c r="Q35" s="4">
        <f t="shared" si="25"/>
        <v>74</v>
      </c>
      <c r="R35" s="121">
        <f t="shared" si="26"/>
        <v>18.5</v>
      </c>
    </row>
    <row r="36" spans="2:18" x14ac:dyDescent="0.4">
      <c r="B36" s="124">
        <f t="shared" si="14"/>
        <v>120000</v>
      </c>
      <c r="C36" s="2">
        <f>C26</f>
        <v>0.15</v>
      </c>
      <c r="D36" s="30">
        <f t="shared" si="15"/>
        <v>60000</v>
      </c>
      <c r="E36" s="51">
        <f t="shared" si="27"/>
        <v>60000</v>
      </c>
      <c r="F36" s="4">
        <f t="shared" si="16"/>
        <v>102</v>
      </c>
      <c r="G36" s="5">
        <f t="shared" si="17"/>
        <v>48</v>
      </c>
      <c r="H36" s="4">
        <f t="shared" si="18"/>
        <v>54</v>
      </c>
      <c r="I36" s="4">
        <f t="shared" si="19"/>
        <v>8.1</v>
      </c>
      <c r="J36" s="101"/>
      <c r="K36" s="21">
        <f t="shared" si="20"/>
        <v>120000</v>
      </c>
      <c r="L36" s="2">
        <f>L26</f>
        <v>0.15</v>
      </c>
      <c r="M36" s="30">
        <f t="shared" si="21"/>
        <v>120000</v>
      </c>
      <c r="N36" s="51">
        <f t="shared" si="22"/>
        <v>120000</v>
      </c>
      <c r="O36" s="4">
        <f t="shared" si="23"/>
        <v>204</v>
      </c>
      <c r="P36" s="5">
        <f t="shared" si="24"/>
        <v>96</v>
      </c>
      <c r="Q36" s="4">
        <f t="shared" si="25"/>
        <v>108</v>
      </c>
      <c r="R36" s="121">
        <f t="shared" si="26"/>
        <v>16.2</v>
      </c>
    </row>
    <row r="37" spans="2:18" ht="16.5" thickBot="1" x14ac:dyDescent="0.45">
      <c r="B37" s="124">
        <f t="shared" si="14"/>
        <v>140000</v>
      </c>
      <c r="C37" s="42">
        <v>0.05</v>
      </c>
      <c r="D37" s="30">
        <f t="shared" si="15"/>
        <v>60000</v>
      </c>
      <c r="E37" s="51">
        <f t="shared" si="27"/>
        <v>60000</v>
      </c>
      <c r="F37" s="4">
        <f t="shared" si="16"/>
        <v>102</v>
      </c>
      <c r="G37" s="5">
        <f t="shared" si="17"/>
        <v>48</v>
      </c>
      <c r="H37" s="52">
        <f t="shared" si="18"/>
        <v>54</v>
      </c>
      <c r="I37" s="52">
        <f t="shared" si="19"/>
        <v>2.7</v>
      </c>
      <c r="J37" s="101"/>
      <c r="K37" s="47">
        <f t="shared" si="20"/>
        <v>140000</v>
      </c>
      <c r="L37" s="42">
        <v>0.05</v>
      </c>
      <c r="M37" s="55">
        <f t="shared" si="21"/>
        <v>120000</v>
      </c>
      <c r="N37" s="18">
        <f t="shared" si="22"/>
        <v>120000</v>
      </c>
      <c r="O37" s="52">
        <f t="shared" si="23"/>
        <v>204</v>
      </c>
      <c r="P37" s="59">
        <f t="shared" si="24"/>
        <v>96</v>
      </c>
      <c r="Q37" s="52">
        <f t="shared" si="25"/>
        <v>108</v>
      </c>
      <c r="R37" s="123">
        <f t="shared" si="26"/>
        <v>5.4</v>
      </c>
    </row>
    <row r="38" spans="2:18" ht="16.5" thickBot="1" x14ac:dyDescent="0.45">
      <c r="B38" s="56"/>
      <c r="C38" s="57"/>
      <c r="D38" s="57"/>
      <c r="E38" s="57"/>
      <c r="F38" s="57"/>
      <c r="G38" s="58"/>
      <c r="H38" s="53" t="s">
        <v>4</v>
      </c>
      <c r="I38" s="54">
        <f>SUMPRODUCT( H32:H37,C32:C37)</f>
        <v>48.900000000000006</v>
      </c>
      <c r="J38" s="101"/>
      <c r="K38" s="56"/>
      <c r="L38" s="57"/>
      <c r="M38" s="57"/>
      <c r="N38" s="57"/>
      <c r="O38" s="57"/>
      <c r="P38" s="60"/>
      <c r="Q38" s="61" t="s">
        <v>4</v>
      </c>
      <c r="R38" s="54">
        <f>SUMPRODUCT(Q32:Q37,L32:L37)</f>
        <v>46.8</v>
      </c>
    </row>
    <row r="39" spans="2:18" x14ac:dyDescent="0.4">
      <c r="B39" s="100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2"/>
    </row>
    <row r="40" spans="2:18" x14ac:dyDescent="0.4">
      <c r="B40" s="116" t="s">
        <v>17</v>
      </c>
      <c r="C40" s="63"/>
      <c r="D40" s="63"/>
      <c r="E40" s="63"/>
      <c r="F40" s="63"/>
      <c r="G40" s="63"/>
      <c r="H40" s="63"/>
      <c r="I40" s="64"/>
      <c r="J40" s="101"/>
      <c r="K40" s="62" t="s">
        <v>19</v>
      </c>
      <c r="L40" s="63"/>
      <c r="M40" s="63"/>
      <c r="N40" s="63"/>
      <c r="O40" s="63"/>
      <c r="P40" s="63"/>
      <c r="Q40" s="63"/>
      <c r="R40" s="117"/>
    </row>
    <row r="41" spans="2:18" x14ac:dyDescent="0.4">
      <c r="B41" s="105" t="s">
        <v>1</v>
      </c>
      <c r="C41" s="3" t="s">
        <v>2</v>
      </c>
      <c r="D41" s="3" t="s">
        <v>3</v>
      </c>
      <c r="E41" s="3" t="s">
        <v>20</v>
      </c>
      <c r="F41" s="3" t="s">
        <v>21</v>
      </c>
      <c r="G41" s="3" t="s">
        <v>22</v>
      </c>
      <c r="H41" s="3" t="s">
        <v>23</v>
      </c>
      <c r="I41" s="3" t="s">
        <v>24</v>
      </c>
      <c r="J41" s="101"/>
      <c r="K41" s="3" t="s">
        <v>1</v>
      </c>
      <c r="L41" s="3" t="s">
        <v>2</v>
      </c>
      <c r="M41" s="3" t="s">
        <v>3</v>
      </c>
      <c r="N41" s="3" t="s">
        <v>20</v>
      </c>
      <c r="O41" s="3" t="s">
        <v>21</v>
      </c>
      <c r="P41" s="3" t="s">
        <v>22</v>
      </c>
      <c r="Q41" s="3" t="s">
        <v>23</v>
      </c>
      <c r="R41" s="118" t="s">
        <v>24</v>
      </c>
    </row>
    <row r="42" spans="2:18" x14ac:dyDescent="0.4">
      <c r="B42" s="124">
        <f>B32</f>
        <v>40000</v>
      </c>
      <c r="C42" s="1">
        <f>C32</f>
        <v>0.15</v>
      </c>
      <c r="D42" s="30">
        <f>4*20000</f>
        <v>80000</v>
      </c>
      <c r="E42" s="51">
        <f>MIN(B42,D42)</f>
        <v>40000</v>
      </c>
      <c r="F42" s="4">
        <f>MIN(B42,D42)*1.7/1000</f>
        <v>68</v>
      </c>
      <c r="G42" s="5">
        <f>4*$C$5</f>
        <v>64</v>
      </c>
      <c r="H42" s="4">
        <f>F42-G42</f>
        <v>4</v>
      </c>
      <c r="I42" s="4">
        <f>H42*C42</f>
        <v>0.6</v>
      </c>
      <c r="J42" s="101"/>
      <c r="K42" s="21">
        <f>K32</f>
        <v>40000</v>
      </c>
      <c r="L42" s="1">
        <f>L32</f>
        <v>0.15</v>
      </c>
      <c r="M42" s="30">
        <f>7*20000</f>
        <v>140000</v>
      </c>
      <c r="N42" s="51">
        <f>MIN(K42,M42)</f>
        <v>40000</v>
      </c>
      <c r="O42" s="4">
        <f>MIN(K42,M42)*1.7/1000</f>
        <v>68</v>
      </c>
      <c r="P42" s="5">
        <f>7*$C$5</f>
        <v>112</v>
      </c>
      <c r="Q42" s="70">
        <f>O42-P42</f>
        <v>-44</v>
      </c>
      <c r="R42" s="120">
        <f>Q42*L42</f>
        <v>-6.6</v>
      </c>
    </row>
    <row r="43" spans="2:18" x14ac:dyDescent="0.4">
      <c r="B43" s="124">
        <f t="shared" ref="B43:B48" si="28">B33</f>
        <v>60000</v>
      </c>
      <c r="C43" s="1">
        <f>C33</f>
        <v>0.15</v>
      </c>
      <c r="D43" s="30">
        <f t="shared" ref="D43:D47" si="29">4*20000</f>
        <v>80000</v>
      </c>
      <c r="E43" s="51">
        <f t="shared" ref="E43:E47" si="30">MIN(B43,D43)</f>
        <v>60000</v>
      </c>
      <c r="F43" s="4">
        <f t="shared" ref="F43:F47" si="31">MIN(B43,D43)*1.7/1000</f>
        <v>102</v>
      </c>
      <c r="G43" s="5">
        <f>4*$C$5</f>
        <v>64</v>
      </c>
      <c r="H43" s="4">
        <f t="shared" ref="H43:H47" si="32">F43-G43</f>
        <v>38</v>
      </c>
      <c r="I43" s="4">
        <f>H43*C43</f>
        <v>5.7</v>
      </c>
      <c r="J43" s="101"/>
      <c r="K43" s="21">
        <f t="shared" ref="K43:K47" si="33">K33</f>
        <v>60000</v>
      </c>
      <c r="L43" s="1">
        <f>L33</f>
        <v>0.15</v>
      </c>
      <c r="M43" s="30">
        <f t="shared" ref="M43:M47" si="34">7*20000</f>
        <v>140000</v>
      </c>
      <c r="N43" s="51">
        <f t="shared" ref="N43:N47" si="35">MIN(K43,M43)</f>
        <v>60000</v>
      </c>
      <c r="O43" s="4">
        <f t="shared" ref="O43:O47" si="36">MIN(K43,M43)*1.7/1000</f>
        <v>102</v>
      </c>
      <c r="P43" s="5">
        <f t="shared" ref="P43:P47" si="37">7*$C$5</f>
        <v>112</v>
      </c>
      <c r="Q43" s="70">
        <f t="shared" ref="Q43:Q47" si="38">O43-P43</f>
        <v>-10</v>
      </c>
      <c r="R43" s="120">
        <f t="shared" ref="R43:R47" si="39">Q43*L43</f>
        <v>-1.5</v>
      </c>
    </row>
    <row r="44" spans="2:18" x14ac:dyDescent="0.4">
      <c r="B44" s="124">
        <f t="shared" si="28"/>
        <v>80000</v>
      </c>
      <c r="C44" s="1">
        <f>C34</f>
        <v>0.25</v>
      </c>
      <c r="D44" s="30">
        <f t="shared" si="29"/>
        <v>80000</v>
      </c>
      <c r="E44" s="51">
        <f t="shared" si="30"/>
        <v>80000</v>
      </c>
      <c r="F44" s="4">
        <f t="shared" si="31"/>
        <v>136</v>
      </c>
      <c r="G44" s="5">
        <f>4*$C$5</f>
        <v>64</v>
      </c>
      <c r="H44" s="4">
        <f t="shared" si="32"/>
        <v>72</v>
      </c>
      <c r="I44" s="4">
        <f t="shared" ref="I44:I47" si="40">H44*C44</f>
        <v>18</v>
      </c>
      <c r="J44" s="101"/>
      <c r="K44" s="21">
        <f t="shared" si="33"/>
        <v>80000</v>
      </c>
      <c r="L44" s="1">
        <f>L34</f>
        <v>0.25</v>
      </c>
      <c r="M44" s="30">
        <f t="shared" si="34"/>
        <v>140000</v>
      </c>
      <c r="N44" s="51">
        <f t="shared" si="35"/>
        <v>80000</v>
      </c>
      <c r="O44" s="4">
        <f t="shared" si="36"/>
        <v>136</v>
      </c>
      <c r="P44" s="5">
        <f t="shared" si="37"/>
        <v>112</v>
      </c>
      <c r="Q44" s="4">
        <f t="shared" si="38"/>
        <v>24</v>
      </c>
      <c r="R44" s="121">
        <f t="shared" si="39"/>
        <v>6</v>
      </c>
    </row>
    <row r="45" spans="2:18" x14ac:dyDescent="0.4">
      <c r="B45" s="124">
        <f t="shared" si="28"/>
        <v>100000</v>
      </c>
      <c r="C45" s="1">
        <f>C35</f>
        <v>0.25</v>
      </c>
      <c r="D45" s="30">
        <f t="shared" si="29"/>
        <v>80000</v>
      </c>
      <c r="E45" s="51">
        <f t="shared" si="30"/>
        <v>80000</v>
      </c>
      <c r="F45" s="4">
        <f t="shared" si="31"/>
        <v>136</v>
      </c>
      <c r="G45" s="5">
        <f>4*$C$5</f>
        <v>64</v>
      </c>
      <c r="H45" s="4">
        <f t="shared" si="32"/>
        <v>72</v>
      </c>
      <c r="I45" s="4">
        <f t="shared" si="40"/>
        <v>18</v>
      </c>
      <c r="J45" s="101"/>
      <c r="K45" s="21">
        <f t="shared" si="33"/>
        <v>100000</v>
      </c>
      <c r="L45" s="1">
        <f>L35</f>
        <v>0.25</v>
      </c>
      <c r="M45" s="30">
        <f t="shared" si="34"/>
        <v>140000</v>
      </c>
      <c r="N45" s="51">
        <f t="shared" si="35"/>
        <v>100000</v>
      </c>
      <c r="O45" s="4">
        <f t="shared" si="36"/>
        <v>170</v>
      </c>
      <c r="P45" s="5">
        <f t="shared" si="37"/>
        <v>112</v>
      </c>
      <c r="Q45" s="4">
        <f t="shared" si="38"/>
        <v>58</v>
      </c>
      <c r="R45" s="121">
        <f t="shared" si="39"/>
        <v>14.5</v>
      </c>
    </row>
    <row r="46" spans="2:18" x14ac:dyDescent="0.4">
      <c r="B46" s="124">
        <f t="shared" si="28"/>
        <v>120000</v>
      </c>
      <c r="C46" s="2">
        <f>C36</f>
        <v>0.15</v>
      </c>
      <c r="D46" s="30">
        <f t="shared" si="29"/>
        <v>80000</v>
      </c>
      <c r="E46" s="51">
        <f t="shared" si="30"/>
        <v>80000</v>
      </c>
      <c r="F46" s="4">
        <f t="shared" si="31"/>
        <v>136</v>
      </c>
      <c r="G46" s="5">
        <f>4*$C$5</f>
        <v>64</v>
      </c>
      <c r="H46" s="4">
        <f t="shared" si="32"/>
        <v>72</v>
      </c>
      <c r="I46" s="4">
        <f t="shared" si="40"/>
        <v>10.799999999999999</v>
      </c>
      <c r="J46" s="101"/>
      <c r="K46" s="21">
        <f t="shared" si="33"/>
        <v>120000</v>
      </c>
      <c r="L46" s="2">
        <f>L36</f>
        <v>0.15</v>
      </c>
      <c r="M46" s="30">
        <f t="shared" si="34"/>
        <v>140000</v>
      </c>
      <c r="N46" s="51">
        <f t="shared" si="35"/>
        <v>120000</v>
      </c>
      <c r="O46" s="4">
        <f t="shared" si="36"/>
        <v>204</v>
      </c>
      <c r="P46" s="5">
        <f t="shared" si="37"/>
        <v>112</v>
      </c>
      <c r="Q46" s="4">
        <f t="shared" si="38"/>
        <v>92</v>
      </c>
      <c r="R46" s="121">
        <f t="shared" si="39"/>
        <v>13.799999999999999</v>
      </c>
    </row>
    <row r="47" spans="2:18" ht="16.5" thickBot="1" x14ac:dyDescent="0.45">
      <c r="B47" s="125">
        <f t="shared" si="28"/>
        <v>140000</v>
      </c>
      <c r="C47" s="42">
        <v>0.05</v>
      </c>
      <c r="D47" s="55">
        <f t="shared" si="29"/>
        <v>80000</v>
      </c>
      <c r="E47" s="18">
        <f t="shared" si="30"/>
        <v>80000</v>
      </c>
      <c r="F47" s="52">
        <f t="shared" si="31"/>
        <v>136</v>
      </c>
      <c r="G47" s="59">
        <f>4*$C$5</f>
        <v>64</v>
      </c>
      <c r="H47" s="52">
        <f t="shared" si="32"/>
        <v>72</v>
      </c>
      <c r="I47" s="52">
        <f t="shared" si="40"/>
        <v>3.6</v>
      </c>
      <c r="J47" s="101"/>
      <c r="K47" s="47">
        <f t="shared" si="33"/>
        <v>140000</v>
      </c>
      <c r="L47" s="42">
        <v>0.05</v>
      </c>
      <c r="M47" s="55">
        <f t="shared" si="34"/>
        <v>140000</v>
      </c>
      <c r="N47" s="18">
        <f t="shared" si="35"/>
        <v>140000</v>
      </c>
      <c r="O47" s="52">
        <f t="shared" si="36"/>
        <v>238</v>
      </c>
      <c r="P47" s="59">
        <f t="shared" si="37"/>
        <v>112</v>
      </c>
      <c r="Q47" s="52">
        <f t="shared" si="38"/>
        <v>126</v>
      </c>
      <c r="R47" s="123">
        <f t="shared" si="39"/>
        <v>6.3000000000000007</v>
      </c>
    </row>
    <row r="48" spans="2:18" ht="16.5" thickBot="1" x14ac:dyDescent="0.45">
      <c r="B48" s="56"/>
      <c r="C48" s="57"/>
      <c r="D48" s="57"/>
      <c r="E48" s="57"/>
      <c r="F48" s="57"/>
      <c r="G48" s="60"/>
      <c r="H48" s="61" t="s">
        <v>4</v>
      </c>
      <c r="I48" s="54">
        <f>SUMPRODUCT(H42:H47,C42:C47)</f>
        <v>56.699999999999996</v>
      </c>
      <c r="J48" s="110"/>
      <c r="K48" s="56"/>
      <c r="L48" s="57"/>
      <c r="M48" s="57"/>
      <c r="N48" s="57"/>
      <c r="O48" s="57"/>
      <c r="P48" s="60"/>
      <c r="Q48" s="61" t="s">
        <v>4</v>
      </c>
      <c r="R48" s="54">
        <f>SUMPRODUCT(Q42:Q47,L42:L47)</f>
        <v>32.5</v>
      </c>
    </row>
    <row r="50" spans="2:20" ht="16.5" thickBot="1" x14ac:dyDescent="0.45"/>
    <row r="51" spans="2:20" ht="20" thickBot="1" x14ac:dyDescent="0.45">
      <c r="B51" s="88" t="s">
        <v>34</v>
      </c>
      <c r="C51" s="89"/>
      <c r="D51" s="89"/>
      <c r="E51" s="89"/>
      <c r="F51" s="89"/>
      <c r="G51" s="89"/>
      <c r="H51" s="89"/>
      <c r="I51" s="90"/>
    </row>
    <row r="52" spans="2:20" x14ac:dyDescent="0.4">
      <c r="B52" s="84" t="s">
        <v>26</v>
      </c>
      <c r="C52" s="85"/>
      <c r="D52" s="86" t="s">
        <v>27</v>
      </c>
      <c r="E52" s="87"/>
      <c r="F52" s="84" t="s">
        <v>28</v>
      </c>
      <c r="G52" s="87"/>
      <c r="H52" s="84" t="s">
        <v>29</v>
      </c>
      <c r="I52" s="85"/>
    </row>
    <row r="53" spans="2:20" x14ac:dyDescent="0.4">
      <c r="B53" s="72" t="s">
        <v>11</v>
      </c>
      <c r="C53" s="91">
        <v>2</v>
      </c>
      <c r="D53" s="74" t="s">
        <v>11</v>
      </c>
      <c r="E53" s="73">
        <v>1.7</v>
      </c>
      <c r="F53" s="74" t="s">
        <v>11</v>
      </c>
      <c r="G53" s="92">
        <v>2</v>
      </c>
      <c r="H53" s="72" t="s">
        <v>11</v>
      </c>
      <c r="I53" s="91">
        <v>2</v>
      </c>
    </row>
    <row r="54" spans="2:20" x14ac:dyDescent="0.4">
      <c r="B54" s="72" t="s">
        <v>12</v>
      </c>
      <c r="C54" s="73">
        <v>16</v>
      </c>
      <c r="D54" s="74" t="s">
        <v>12</v>
      </c>
      <c r="E54" s="91">
        <v>18</v>
      </c>
      <c r="F54" s="74" t="s">
        <v>12</v>
      </c>
      <c r="G54" s="92">
        <v>18</v>
      </c>
      <c r="H54" s="72" t="s">
        <v>12</v>
      </c>
      <c r="I54" s="91">
        <v>13</v>
      </c>
      <c r="N54" s="19"/>
    </row>
    <row r="55" spans="2:20" ht="16.5" thickBot="1" x14ac:dyDescent="0.45">
      <c r="B55" s="76" t="s">
        <v>13</v>
      </c>
      <c r="C55" s="77">
        <v>20000</v>
      </c>
      <c r="D55" s="78" t="s">
        <v>13</v>
      </c>
      <c r="E55" s="77">
        <v>20000</v>
      </c>
      <c r="F55" s="78" t="s">
        <v>13</v>
      </c>
      <c r="G55" s="79">
        <v>20000</v>
      </c>
      <c r="H55" s="76" t="s">
        <v>13</v>
      </c>
      <c r="I55" s="77">
        <v>20000</v>
      </c>
    </row>
    <row r="56" spans="2:20" ht="16.5" thickBot="1" x14ac:dyDescent="0.45">
      <c r="B56" s="80"/>
      <c r="C56" s="99"/>
      <c r="D56" s="99"/>
      <c r="E56" s="99"/>
      <c r="F56" s="99"/>
      <c r="G56" s="99"/>
      <c r="H56" s="99"/>
      <c r="I56" s="80"/>
      <c r="M56" s="10"/>
    </row>
    <row r="57" spans="2:20" x14ac:dyDescent="0.4">
      <c r="B57" s="81" t="s">
        <v>30</v>
      </c>
      <c r="C57" s="82"/>
      <c r="D57" s="81" t="s">
        <v>31</v>
      </c>
      <c r="E57" s="82"/>
      <c r="F57" s="81" t="s">
        <v>32</v>
      </c>
      <c r="G57" s="83"/>
      <c r="H57" s="81" t="s">
        <v>33</v>
      </c>
      <c r="I57" s="83"/>
    </row>
    <row r="58" spans="2:20" x14ac:dyDescent="0.4">
      <c r="B58" s="72" t="s">
        <v>11</v>
      </c>
      <c r="C58" s="92">
        <v>1.5</v>
      </c>
      <c r="D58" s="72" t="s">
        <v>11</v>
      </c>
      <c r="E58" s="75">
        <v>1.7</v>
      </c>
      <c r="F58" s="72" t="s">
        <v>11</v>
      </c>
      <c r="G58" s="91">
        <v>1.5</v>
      </c>
      <c r="H58" s="72" t="s">
        <v>11</v>
      </c>
      <c r="I58" s="91">
        <v>1.5</v>
      </c>
    </row>
    <row r="59" spans="2:20" x14ac:dyDescent="0.4">
      <c r="B59" s="72" t="s">
        <v>12</v>
      </c>
      <c r="C59" s="73">
        <v>16</v>
      </c>
      <c r="D59" s="74" t="s">
        <v>12</v>
      </c>
      <c r="E59" s="92">
        <v>13</v>
      </c>
      <c r="F59" s="72" t="s">
        <v>12</v>
      </c>
      <c r="G59" s="91">
        <v>13</v>
      </c>
      <c r="H59" s="72" t="s">
        <v>12</v>
      </c>
      <c r="I59" s="91">
        <v>18</v>
      </c>
    </row>
    <row r="60" spans="2:20" ht="16.5" thickBot="1" x14ac:dyDescent="0.45">
      <c r="B60" s="76" t="s">
        <v>13</v>
      </c>
      <c r="C60" s="79">
        <v>20000</v>
      </c>
      <c r="D60" s="76" t="s">
        <v>13</v>
      </c>
      <c r="E60" s="79">
        <v>20000</v>
      </c>
      <c r="F60" s="76" t="s">
        <v>13</v>
      </c>
      <c r="G60" s="77">
        <v>20000</v>
      </c>
      <c r="H60" s="76" t="s">
        <v>13</v>
      </c>
      <c r="I60" s="77">
        <v>20000</v>
      </c>
    </row>
    <row r="61" spans="2:20" x14ac:dyDescent="0.4">
      <c r="B61" s="100"/>
      <c r="C61" s="101"/>
      <c r="D61" s="101"/>
      <c r="E61" s="101"/>
      <c r="F61" s="101"/>
      <c r="G61" s="101"/>
      <c r="H61" s="101"/>
      <c r="I61" s="102"/>
    </row>
    <row r="62" spans="2:20" x14ac:dyDescent="0.4">
      <c r="B62" s="103"/>
      <c r="C62" s="48"/>
      <c r="D62" s="48"/>
      <c r="E62" s="48"/>
      <c r="F62" s="48"/>
      <c r="G62" s="101"/>
      <c r="H62" s="101"/>
      <c r="I62" s="102"/>
    </row>
    <row r="63" spans="2:20" x14ac:dyDescent="0.4">
      <c r="B63" s="100"/>
      <c r="C63" s="101"/>
      <c r="D63" s="95" t="s">
        <v>35</v>
      </c>
      <c r="E63" s="96"/>
      <c r="F63" s="97"/>
      <c r="G63" s="101"/>
      <c r="H63" s="101"/>
      <c r="I63" s="102"/>
      <c r="P63" s="8"/>
      <c r="Q63" s="8"/>
      <c r="R63" s="8"/>
      <c r="S63" s="8"/>
      <c r="T63" s="8"/>
    </row>
    <row r="64" spans="2:20" x14ac:dyDescent="0.4">
      <c r="B64" s="100"/>
      <c r="C64" s="101"/>
      <c r="D64" s="3" t="s">
        <v>5</v>
      </c>
      <c r="E64" s="71" t="s">
        <v>3</v>
      </c>
      <c r="F64" s="3" t="s">
        <v>6</v>
      </c>
      <c r="G64" s="101"/>
      <c r="H64" s="101"/>
      <c r="I64" s="102"/>
      <c r="P64" s="14"/>
      <c r="Q64" s="14"/>
      <c r="R64" s="14"/>
      <c r="S64" s="9"/>
      <c r="T64" s="14"/>
    </row>
    <row r="65" spans="2:20" x14ac:dyDescent="0.4">
      <c r="B65" s="100"/>
      <c r="C65" s="101"/>
      <c r="D65" s="1">
        <v>2</v>
      </c>
      <c r="E65" s="21">
        <v>40000</v>
      </c>
      <c r="F65" s="12" cm="1">
        <f t="array" ref="F65">SUMPRODUCT(($C$4/1000) * IF($C$11:$C$16 &lt;= $E65, $C$11:$C$16,$E65), $D$11:$D$16) - (D65 * $C$5)</f>
        <v>36</v>
      </c>
      <c r="G65" s="101"/>
      <c r="H65" s="101"/>
      <c r="I65" s="102"/>
      <c r="P65" s="14"/>
      <c r="Q65" s="14"/>
      <c r="R65" s="14"/>
      <c r="S65" s="9"/>
      <c r="T65" s="14"/>
    </row>
    <row r="66" spans="2:20" x14ac:dyDescent="0.4">
      <c r="B66" s="100"/>
      <c r="C66" s="101"/>
      <c r="D66" s="1">
        <v>3</v>
      </c>
      <c r="E66" s="21">
        <v>60000</v>
      </c>
      <c r="F66" s="12" cm="1">
        <f t="array" ref="F66">SUMPRODUCT(($C$4/1000) * IF($C$11:$C$16 &lt;= $E66, $C$11:$C$16,$E66), $D$11:$D$16) - (D66 * $C$5)</f>
        <v>48.899999999999991</v>
      </c>
      <c r="G66" s="101"/>
      <c r="H66" s="101"/>
      <c r="I66" s="102"/>
      <c r="Q66" s="14"/>
      <c r="R66" s="14"/>
      <c r="S66" s="9"/>
      <c r="T66" s="14"/>
    </row>
    <row r="67" spans="2:20" x14ac:dyDescent="0.4">
      <c r="B67" s="100"/>
      <c r="C67" s="101"/>
      <c r="D67" s="1">
        <v>4</v>
      </c>
      <c r="E67" s="21">
        <v>80000</v>
      </c>
      <c r="F67" s="12" cm="1">
        <f t="array" ref="F67">SUMPRODUCT(($C$4/1000) * IF($C$11:$C$16 &lt;= $E67, $C$11:$C$16,$E67), $D$11:$D$16) - (D67 * $C$5)</f>
        <v>56.7</v>
      </c>
      <c r="G67" s="101"/>
      <c r="H67" s="101"/>
      <c r="I67" s="102"/>
      <c r="Q67" s="14"/>
      <c r="R67" s="14"/>
      <c r="S67" s="9"/>
      <c r="T67" s="14"/>
    </row>
    <row r="68" spans="2:20" x14ac:dyDescent="0.4">
      <c r="B68" s="100"/>
      <c r="C68" s="101"/>
      <c r="D68" s="1">
        <v>5</v>
      </c>
      <c r="E68" s="21">
        <v>100000</v>
      </c>
      <c r="F68" s="12" cm="1">
        <f t="array" ref="F68">SUMPRODUCT(($C$4/1000) * IF($C$11:$C$16 &lt;= $E68, $C$11:$C$16,$E68), $D$11:$D$16) - (D68 * $C$5)</f>
        <v>56</v>
      </c>
      <c r="G68" s="101"/>
      <c r="H68" s="101"/>
      <c r="I68" s="102"/>
      <c r="Q68" s="14"/>
      <c r="R68" s="14"/>
      <c r="S68" s="9"/>
      <c r="T68" s="14"/>
    </row>
    <row r="69" spans="2:20" x14ac:dyDescent="0.4">
      <c r="B69" s="100"/>
      <c r="C69" s="101"/>
      <c r="D69" s="1">
        <v>6</v>
      </c>
      <c r="E69" s="21">
        <v>120000</v>
      </c>
      <c r="F69" s="12" cm="1">
        <f t="array" ref="F69">SUMPRODUCT(($C$4/1000) * IF($C$11:$C$16 &lt;= $E69, $C$11:$C$16,$E69), $D$11:$D$16) - (D69 * $C$5)</f>
        <v>46.799999999999983</v>
      </c>
      <c r="G69" s="101"/>
      <c r="H69" s="101"/>
      <c r="I69" s="102"/>
      <c r="Q69" s="14"/>
      <c r="R69" s="14"/>
      <c r="S69" s="9"/>
      <c r="T69" s="14"/>
    </row>
    <row r="70" spans="2:20" x14ac:dyDescent="0.4">
      <c r="B70" s="100"/>
      <c r="C70" s="101"/>
      <c r="D70" s="1">
        <v>7</v>
      </c>
      <c r="E70" s="21">
        <v>140000</v>
      </c>
      <c r="F70" s="12" cm="1">
        <f t="array" ref="F70">SUMPRODUCT(($C$4/1000) * IF($C$11:$C$16 &lt;= $E70, $C$11:$C$16,$E70), $D$11:$D$16) - (D70 * $C$5)</f>
        <v>32.5</v>
      </c>
      <c r="G70" s="101"/>
      <c r="H70" s="101"/>
      <c r="I70" s="102"/>
      <c r="Q70" s="9"/>
      <c r="R70" s="9"/>
      <c r="S70" s="8"/>
      <c r="T70" s="8"/>
    </row>
    <row r="71" spans="2:20" x14ac:dyDescent="0.4">
      <c r="B71" s="100"/>
      <c r="C71" s="101"/>
      <c r="D71" s="101"/>
      <c r="E71" s="101"/>
      <c r="F71" s="101"/>
      <c r="G71" s="101"/>
      <c r="H71" s="101"/>
      <c r="I71" s="102"/>
    </row>
    <row r="72" spans="2:20" x14ac:dyDescent="0.4">
      <c r="B72" s="104" t="s">
        <v>36</v>
      </c>
      <c r="C72" s="94"/>
      <c r="D72" s="94"/>
      <c r="E72" s="101"/>
      <c r="F72" s="98" t="s">
        <v>39</v>
      </c>
      <c r="G72" s="98"/>
      <c r="H72" s="98"/>
      <c r="I72" s="102"/>
    </row>
    <row r="73" spans="2:20" x14ac:dyDescent="0.4">
      <c r="B73" s="105" t="s">
        <v>5</v>
      </c>
      <c r="C73" s="71" t="s">
        <v>3</v>
      </c>
      <c r="D73" s="3" t="s">
        <v>6</v>
      </c>
      <c r="E73" s="101"/>
      <c r="F73" s="3" t="s">
        <v>5</v>
      </c>
      <c r="G73" s="71" t="s">
        <v>3</v>
      </c>
      <c r="H73" s="3" t="s">
        <v>6</v>
      </c>
      <c r="I73" s="102"/>
    </row>
    <row r="74" spans="2:20" x14ac:dyDescent="0.4">
      <c r="B74" s="106">
        <v>2</v>
      </c>
      <c r="C74" s="21">
        <v>40000</v>
      </c>
      <c r="D74" s="12" cm="1">
        <f t="array" ref="D74">SUMPRODUCT(($C$53/1000) * IF($C$11:$C$16 &lt;= $C74, $C$11:$C$16,$C74), $D$11:$D$16) - (B74 * $C$54)</f>
        <v>48</v>
      </c>
      <c r="E74" s="101"/>
      <c r="F74" s="1">
        <v>2</v>
      </c>
      <c r="G74" s="21">
        <v>40000</v>
      </c>
      <c r="H74" s="12" cm="1">
        <f t="array" ref="H74">SUMPRODUCT(($C$58/1000) * IF($C$11:$C$16 &lt;= $G74, $C$11:$C$16,$G74), $D$11:$D$16) - (F74 * $C$59)</f>
        <v>28</v>
      </c>
      <c r="I74" s="102"/>
    </row>
    <row r="75" spans="2:20" x14ac:dyDescent="0.4">
      <c r="B75" s="106">
        <v>3</v>
      </c>
      <c r="C75" s="21">
        <v>60000</v>
      </c>
      <c r="D75" s="12" cm="1">
        <f t="array" ref="D75">SUMPRODUCT(($C$53/1000) * IF($C$11:$C$16 &lt;= $C75, $C$11:$C$16,$C75), $D$11:$D$16) - (B75 * $C$54)</f>
        <v>66</v>
      </c>
      <c r="E75" s="101"/>
      <c r="F75" s="1">
        <v>3</v>
      </c>
      <c r="G75" s="21">
        <v>60000</v>
      </c>
      <c r="H75" s="12" cm="1">
        <f t="array" ref="H75">SUMPRODUCT(($C$58/1000) * IF($C$11:$C$16 &lt;= $G75, $C$11:$C$16,$G75), $D$11:$D$16) - (F75 * $C$59)</f>
        <v>37.5</v>
      </c>
      <c r="I75" s="102"/>
    </row>
    <row r="76" spans="2:20" x14ac:dyDescent="0.4">
      <c r="B76" s="106">
        <v>4</v>
      </c>
      <c r="C76" s="21">
        <v>80000</v>
      </c>
      <c r="D76" s="12" cm="1">
        <f t="array" ref="D76">SUMPRODUCT(($C$53/1000) * IF($C$11:$C$16 &lt;= $C76, $C$11:$C$16,$C76), $D$11:$D$16) - (B76 * $C$54)</f>
        <v>78</v>
      </c>
      <c r="E76" s="101"/>
      <c r="F76" s="1">
        <v>4</v>
      </c>
      <c r="G76" s="21">
        <v>80000</v>
      </c>
      <c r="H76" s="12" cm="1">
        <f t="array" ref="H76">SUMPRODUCT(($C$58/1000) * IF($C$11:$C$16 &lt;= $G76, $C$11:$C$16,$G76), $D$11:$D$16) - (F76 * $C$59)</f>
        <v>42.5</v>
      </c>
      <c r="I76" s="102"/>
    </row>
    <row r="77" spans="2:20" x14ac:dyDescent="0.4">
      <c r="B77" s="106">
        <v>5</v>
      </c>
      <c r="C77" s="21">
        <v>100000</v>
      </c>
      <c r="D77" s="12" cm="1">
        <f t="array" ref="D77">SUMPRODUCT(($C$53/1000) * IF($C$11:$C$16 &lt;= $C77, $C$11:$C$16,$C77), $D$11:$D$16) - (B77 * $C$54)</f>
        <v>80</v>
      </c>
      <c r="E77" s="101"/>
      <c r="F77" s="1">
        <v>5</v>
      </c>
      <c r="G77" s="21">
        <v>100000</v>
      </c>
      <c r="H77" s="12" cm="1">
        <f t="array" ref="H77">SUMPRODUCT(($C$58/1000) * IF($C$11:$C$16 &lt;= $G77, $C$11:$C$16,$G77), $D$11:$D$16) - (F77 * $C$59)</f>
        <v>40</v>
      </c>
      <c r="I77" s="102"/>
    </row>
    <row r="78" spans="2:20" x14ac:dyDescent="0.4">
      <c r="B78" s="106">
        <v>6</v>
      </c>
      <c r="C78" s="21">
        <v>120000</v>
      </c>
      <c r="D78" s="12" cm="1">
        <f t="array" ref="D78">SUMPRODUCT(($C$53/1000) * IF($C$11:$C$16 &lt;= $C78, $C$11:$C$16,$C78), $D$11:$D$16) - (B78 * $C$54)</f>
        <v>72</v>
      </c>
      <c r="E78" s="101"/>
      <c r="F78" s="1">
        <v>6</v>
      </c>
      <c r="G78" s="21">
        <v>120000</v>
      </c>
      <c r="H78" s="12" cm="1">
        <f t="array" ref="H78">SUMPRODUCT(($C$58/1000) * IF($C$11:$C$16 &lt;= $G78, $C$11:$C$16,$G78), $D$11:$D$16) - (F78 * $C$59)</f>
        <v>30</v>
      </c>
      <c r="I78" s="102"/>
      <c r="S78" s="17"/>
      <c r="T78" s="17"/>
    </row>
    <row r="79" spans="2:20" x14ac:dyDescent="0.4">
      <c r="B79" s="106">
        <v>7</v>
      </c>
      <c r="C79" s="21">
        <v>140000</v>
      </c>
      <c r="D79" s="12" cm="1">
        <f t="array" ref="D79">SUMPRODUCT(($C$53/1000) * IF($C$11:$C$16 &lt;= $C79, $C$11:$C$16,$C79), $D$11:$D$16) - (B79 * $C$54)</f>
        <v>58</v>
      </c>
      <c r="E79" s="101"/>
      <c r="F79" s="1">
        <v>7</v>
      </c>
      <c r="G79" s="21">
        <v>140000</v>
      </c>
      <c r="H79" s="12" cm="1">
        <f t="array" ref="H79">SUMPRODUCT(($C$58/1000) * IF($C$11:$C$16 &lt;= $G79, $C$11:$C$16,$G79), $D$11:$D$16) - (F79 * $C$59)</f>
        <v>15.5</v>
      </c>
      <c r="I79" s="102"/>
      <c r="R79" s="16"/>
      <c r="S79" s="17"/>
      <c r="T79" s="17"/>
    </row>
    <row r="80" spans="2:20" x14ac:dyDescent="0.4">
      <c r="B80" s="100"/>
      <c r="C80" s="101"/>
      <c r="D80" s="101"/>
      <c r="E80" s="101"/>
      <c r="F80" s="101"/>
      <c r="G80" s="101"/>
      <c r="H80" s="101"/>
      <c r="I80" s="102"/>
      <c r="R80" s="16"/>
      <c r="S80" s="17"/>
      <c r="T80" s="17"/>
    </row>
    <row r="81" spans="2:22" x14ac:dyDescent="0.4">
      <c r="B81" s="107" t="s">
        <v>37</v>
      </c>
      <c r="C81" s="98"/>
      <c r="D81" s="98"/>
      <c r="E81" s="101"/>
      <c r="F81" s="98" t="s">
        <v>40</v>
      </c>
      <c r="G81" s="98"/>
      <c r="H81" s="98"/>
      <c r="I81" s="102"/>
      <c r="R81" s="16"/>
      <c r="S81" s="17"/>
      <c r="T81" s="17"/>
    </row>
    <row r="82" spans="2:22" x14ac:dyDescent="0.4">
      <c r="B82" s="105" t="s">
        <v>5</v>
      </c>
      <c r="C82" s="71" t="s">
        <v>3</v>
      </c>
      <c r="D82" s="3" t="s">
        <v>6</v>
      </c>
      <c r="E82" s="101"/>
      <c r="F82" s="3" t="s">
        <v>5</v>
      </c>
      <c r="G82" s="71" t="s">
        <v>3</v>
      </c>
      <c r="H82" s="3" t="s">
        <v>6</v>
      </c>
      <c r="I82" s="102"/>
      <c r="R82" s="16"/>
      <c r="S82" s="17"/>
      <c r="T82" s="17"/>
    </row>
    <row r="83" spans="2:22" x14ac:dyDescent="0.4">
      <c r="B83" s="106">
        <v>2</v>
      </c>
      <c r="C83" s="21">
        <v>40000</v>
      </c>
      <c r="D83" s="12" cm="1">
        <f t="array" ref="D83">SUMPRODUCT(($E$53/1000) * IF($C$11:$C$16 &lt;= $C83, $C$11:$C$16,$C83), $D$11:$D$16) - (B83 * $E$54)</f>
        <v>32</v>
      </c>
      <c r="E83" s="101"/>
      <c r="F83" s="1">
        <v>2</v>
      </c>
      <c r="G83" s="21">
        <v>40000</v>
      </c>
      <c r="H83" s="12" cm="1">
        <f t="array" ref="H83">SUMPRODUCT(($E$58/1000) * IF($C$11:$C$16 &lt;= $G83, $C$11:$C$16,$G83), $D$11:$D$16) - (F83 * $E$59)</f>
        <v>42</v>
      </c>
      <c r="I83" s="102"/>
      <c r="R83" s="16"/>
      <c r="S83" s="17"/>
      <c r="T83" s="17"/>
    </row>
    <row r="84" spans="2:22" x14ac:dyDescent="0.4">
      <c r="B84" s="106">
        <v>3</v>
      </c>
      <c r="C84" s="21">
        <v>60000</v>
      </c>
      <c r="D84" s="12" cm="1">
        <f t="array" ref="D84">SUMPRODUCT(($E$53/1000) * IF($C$11:$C$16 &lt;= $C84, $C$11:$C$16,$C84), $D$11:$D$16) - (B84 * $E$54)</f>
        <v>42.899999999999991</v>
      </c>
      <c r="E84" s="101"/>
      <c r="F84" s="1">
        <v>3</v>
      </c>
      <c r="G84" s="21">
        <v>60000</v>
      </c>
      <c r="H84" s="12" cm="1">
        <f t="array" ref="H84">SUMPRODUCT(($E$58/1000) * IF($C$11:$C$16 &lt;= $G84, $C$11:$C$16,$G84), $D$11:$D$16) - (F84 * $E$59)</f>
        <v>57.899999999999991</v>
      </c>
      <c r="I84" s="102"/>
      <c r="R84" s="16"/>
      <c r="S84" s="17"/>
      <c r="T84" s="17"/>
    </row>
    <row r="85" spans="2:22" ht="19" customHeight="1" x14ac:dyDescent="0.4">
      <c r="B85" s="106">
        <v>4</v>
      </c>
      <c r="C85" s="21">
        <v>80000</v>
      </c>
      <c r="D85" s="12" cm="1">
        <f t="array" ref="D85">SUMPRODUCT(($E$53/1000) * IF($C$11:$C$16 &lt;= $C85, $C$11:$C$16,$C85), $D$11:$D$16) - (B85 * $E$54)</f>
        <v>48.7</v>
      </c>
      <c r="E85" s="101"/>
      <c r="F85" s="1">
        <v>4</v>
      </c>
      <c r="G85" s="21">
        <v>80000</v>
      </c>
      <c r="H85" s="12" cm="1">
        <f t="array" ref="H85">SUMPRODUCT(($E$58/1000) * IF($C$11:$C$16 &lt;= $G85, $C$11:$C$16,$G85), $D$11:$D$16) - (F85 * $E$59)</f>
        <v>68.7</v>
      </c>
      <c r="I85" s="102"/>
      <c r="T85" s="15"/>
      <c r="U85" s="17"/>
      <c r="V85" s="17"/>
    </row>
    <row r="86" spans="2:22" x14ac:dyDescent="0.4">
      <c r="B86" s="106">
        <v>5</v>
      </c>
      <c r="C86" s="21">
        <v>100000</v>
      </c>
      <c r="D86" s="12" cm="1">
        <f t="array" ref="D86">SUMPRODUCT(($E$53/1000) * IF($C$11:$C$16 &lt;= $C86, $C$11:$C$16,$C86), $D$11:$D$16) - (B86 * $E$54)</f>
        <v>46</v>
      </c>
      <c r="E86" s="101"/>
      <c r="F86" s="1">
        <v>5</v>
      </c>
      <c r="G86" s="21">
        <v>100000</v>
      </c>
      <c r="H86" s="12" cm="1">
        <f t="array" ref="H86">SUMPRODUCT(($E$58/1000) * IF($C$11:$C$16 &lt;= $G86, $C$11:$C$16,$G86), $D$11:$D$16) - (F86 * $E$59)</f>
        <v>71</v>
      </c>
      <c r="I86" s="102"/>
      <c r="T86" s="17"/>
      <c r="U86" s="17"/>
      <c r="V86" s="17"/>
    </row>
    <row r="87" spans="2:22" x14ac:dyDescent="0.4">
      <c r="B87" s="106">
        <v>6</v>
      </c>
      <c r="C87" s="21">
        <v>120000</v>
      </c>
      <c r="D87" s="12" cm="1">
        <f t="array" ref="D87">SUMPRODUCT(($E$53/1000) * IF($C$11:$C$16 &lt;= $C87, $C$11:$C$16,$C87), $D$11:$D$16) - (B87 * $E$54)</f>
        <v>34.799999999999983</v>
      </c>
      <c r="E87" s="101"/>
      <c r="F87" s="1">
        <v>6</v>
      </c>
      <c r="G87" s="21">
        <v>120000</v>
      </c>
      <c r="H87" s="12" cm="1">
        <f t="array" ref="H87">SUMPRODUCT(($E$58/1000) * IF($C$11:$C$16 &lt;= $G87, $C$11:$C$16,$G87), $D$11:$D$16) - (F87 * $E$59)</f>
        <v>64.799999999999983</v>
      </c>
      <c r="I87" s="102"/>
    </row>
    <row r="88" spans="2:22" x14ac:dyDescent="0.4">
      <c r="B88" s="106">
        <v>7</v>
      </c>
      <c r="C88" s="21">
        <v>140000</v>
      </c>
      <c r="D88" s="12" cm="1">
        <f t="array" ref="D88">SUMPRODUCT(($E$53/1000) * IF($C$11:$C$16 &lt;= $C88, $C$11:$C$16,$C88), $D$11:$D$16) - (B88 * $E$54)</f>
        <v>18.5</v>
      </c>
      <c r="E88" s="101"/>
      <c r="F88" s="1">
        <v>7</v>
      </c>
      <c r="G88" s="21">
        <v>140000</v>
      </c>
      <c r="H88" s="12" cm="1">
        <f t="array" ref="H88">SUMPRODUCT(($E$58/1000) * IF($C$11:$C$16 &lt;= $G88, $C$11:$C$16,$G88), $D$11:$D$16) - (F88 * $E$59)</f>
        <v>53.5</v>
      </c>
      <c r="I88" s="102"/>
    </row>
    <row r="89" spans="2:22" x14ac:dyDescent="0.4">
      <c r="B89" s="100"/>
      <c r="C89" s="101"/>
      <c r="D89" s="101"/>
      <c r="E89" s="101"/>
      <c r="F89" s="101"/>
      <c r="G89" s="101"/>
      <c r="H89" s="101"/>
      <c r="I89" s="102"/>
    </row>
    <row r="90" spans="2:22" x14ac:dyDescent="0.4">
      <c r="B90" s="107" t="s">
        <v>38</v>
      </c>
      <c r="C90" s="98"/>
      <c r="D90" s="98"/>
      <c r="E90" s="101"/>
      <c r="F90" s="98" t="s">
        <v>41</v>
      </c>
      <c r="G90" s="98"/>
      <c r="H90" s="98"/>
      <c r="I90" s="102"/>
    </row>
    <row r="91" spans="2:22" x14ac:dyDescent="0.4">
      <c r="B91" s="105" t="s">
        <v>5</v>
      </c>
      <c r="C91" s="71" t="s">
        <v>3</v>
      </c>
      <c r="D91" s="3" t="s">
        <v>6</v>
      </c>
      <c r="E91" s="101"/>
      <c r="F91" s="3" t="s">
        <v>5</v>
      </c>
      <c r="G91" s="71" t="s">
        <v>3</v>
      </c>
      <c r="H91" s="3" t="s">
        <v>6</v>
      </c>
      <c r="I91" s="102"/>
    </row>
    <row r="92" spans="2:22" x14ac:dyDescent="0.4">
      <c r="B92" s="106">
        <v>2</v>
      </c>
      <c r="C92" s="21">
        <v>40000</v>
      </c>
      <c r="D92" s="12" cm="1">
        <f t="array" ref="D92">SUMPRODUCT(($G$53/1000) * IF($C$11:$C$16 &lt;= $C92, $C$11:$C$16,$C92), $D$11:$D$16) - (B92 * G$54)</f>
        <v>44</v>
      </c>
      <c r="E92" s="101"/>
      <c r="F92" s="1">
        <v>2</v>
      </c>
      <c r="G92" s="21">
        <v>40000</v>
      </c>
      <c r="H92" s="12" cm="1">
        <f t="array" ref="H92">SUMPRODUCT(($G$58/1000) * IF($C$11:$C$16 &lt;= $G92, $C$11:$C$16,$G92), $D$11:$D$16) - (F92 * $G$59)</f>
        <v>34</v>
      </c>
      <c r="I92" s="102"/>
    </row>
    <row r="93" spans="2:22" x14ac:dyDescent="0.4">
      <c r="B93" s="106">
        <v>3</v>
      </c>
      <c r="C93" s="21">
        <v>60000</v>
      </c>
      <c r="D93" s="12" cm="1">
        <f t="array" ref="D93">SUMPRODUCT(($G$53/1000) * IF($C$11:$C$16 &lt;= $C93, $C$11:$C$16,$C93), $D$11:$D$16) - (B93 * G$54)</f>
        <v>60</v>
      </c>
      <c r="E93" s="101"/>
      <c r="F93" s="1">
        <v>3</v>
      </c>
      <c r="G93" s="21">
        <v>60000</v>
      </c>
      <c r="H93" s="12" cm="1">
        <f t="array" ref="H93">SUMPRODUCT(($G$58/1000) * IF($C$11:$C$16 &lt;= $G93, $C$11:$C$16,$G93), $D$11:$D$16) - (F93 * $G$59)</f>
        <v>46.5</v>
      </c>
      <c r="I93" s="102"/>
    </row>
    <row r="94" spans="2:22" x14ac:dyDescent="0.4">
      <c r="B94" s="106">
        <v>4</v>
      </c>
      <c r="C94" s="21">
        <v>80000</v>
      </c>
      <c r="D94" s="12" cm="1">
        <f t="array" ref="D94">SUMPRODUCT(($G$53/1000) * IF($C$11:$C$16 &lt;= $C94, $C$11:$C$16,$C94), $D$11:$D$16) - (B94 * G$54)</f>
        <v>70</v>
      </c>
      <c r="E94" s="101"/>
      <c r="F94" s="1">
        <v>4</v>
      </c>
      <c r="G94" s="21">
        <v>80000</v>
      </c>
      <c r="H94" s="12" cm="1">
        <f t="array" ref="H94">SUMPRODUCT(($G$58/1000) * IF($C$11:$C$16 &lt;= $G94, $C$11:$C$16,$G94), $D$11:$D$16) - (F94 * $G$59)</f>
        <v>54.5</v>
      </c>
      <c r="I94" s="102"/>
    </row>
    <row r="95" spans="2:22" x14ac:dyDescent="0.4">
      <c r="B95" s="106">
        <v>5</v>
      </c>
      <c r="C95" s="21">
        <v>100000</v>
      </c>
      <c r="D95" s="12" cm="1">
        <f t="array" ref="D95">SUMPRODUCT(($G$53/1000) * IF($C$11:$C$16 &lt;= $C95, $C$11:$C$16,$C95), $D$11:$D$16) - (B95 * G$54)</f>
        <v>70</v>
      </c>
      <c r="E95" s="101"/>
      <c r="F95" s="1">
        <v>5</v>
      </c>
      <c r="G95" s="21">
        <v>100000</v>
      </c>
      <c r="H95" s="12" cm="1">
        <f t="array" ref="H95">SUMPRODUCT(($G$58/1000) * IF($C$11:$C$16 &lt;= $G95, $C$11:$C$16,$G95), $D$11:$D$16) - (F95 * $G$59)</f>
        <v>55</v>
      </c>
      <c r="I95" s="102"/>
    </row>
    <row r="96" spans="2:22" x14ac:dyDescent="0.4">
      <c r="B96" s="106">
        <v>6</v>
      </c>
      <c r="C96" s="21">
        <v>120000</v>
      </c>
      <c r="D96" s="12" cm="1">
        <f t="array" ref="D96">SUMPRODUCT(($G$53/1000) * IF($C$11:$C$16 &lt;= $C96, $C$11:$C$16,$C96), $D$11:$D$16) - (B96 * G$54)</f>
        <v>60</v>
      </c>
      <c r="E96" s="101"/>
      <c r="F96" s="1">
        <v>6</v>
      </c>
      <c r="G96" s="21">
        <v>120000</v>
      </c>
      <c r="H96" s="12" cm="1">
        <f t="array" ref="H96">SUMPRODUCT(($G$58/1000) * IF($C$11:$C$16 &lt;= $G96, $C$11:$C$16,$G96), $D$11:$D$16) - (F96 * $G$59)</f>
        <v>48</v>
      </c>
      <c r="I96" s="102"/>
    </row>
    <row r="97" spans="2:9" x14ac:dyDescent="0.4">
      <c r="B97" s="106">
        <v>7</v>
      </c>
      <c r="C97" s="21">
        <v>140000</v>
      </c>
      <c r="D97" s="12" cm="1">
        <f t="array" ref="D97">SUMPRODUCT(($G$53/1000) * IF($C$11:$C$16 &lt;= $C97, $C$11:$C$16,$C97), $D$11:$D$16) - (B97 * G$54)</f>
        <v>44</v>
      </c>
      <c r="E97" s="101"/>
      <c r="F97" s="1">
        <v>7</v>
      </c>
      <c r="G97" s="21">
        <v>140000</v>
      </c>
      <c r="H97" s="12" cm="1">
        <f t="array" ref="H97">SUMPRODUCT(($G$58/1000) * IF($C$11:$C$16 &lt;= $G97, $C$11:$C$16,$G97), $D$11:$D$16) - (F97 * $G$59)</f>
        <v>36.5</v>
      </c>
      <c r="I97" s="102"/>
    </row>
    <row r="98" spans="2:9" x14ac:dyDescent="0.4">
      <c r="B98" s="100"/>
      <c r="C98" s="101"/>
      <c r="D98" s="101"/>
      <c r="E98" s="101"/>
      <c r="F98" s="101"/>
      <c r="G98" s="101"/>
      <c r="H98" s="101"/>
      <c r="I98" s="102"/>
    </row>
    <row r="99" spans="2:9" x14ac:dyDescent="0.4">
      <c r="B99" s="107" t="s">
        <v>42</v>
      </c>
      <c r="C99" s="98"/>
      <c r="D99" s="98"/>
      <c r="E99" s="101"/>
      <c r="F99" s="98" t="s">
        <v>43</v>
      </c>
      <c r="G99" s="98"/>
      <c r="H99" s="98"/>
      <c r="I99" s="102"/>
    </row>
    <row r="100" spans="2:9" x14ac:dyDescent="0.4">
      <c r="B100" s="105" t="s">
        <v>5</v>
      </c>
      <c r="C100" s="71" t="s">
        <v>3</v>
      </c>
      <c r="D100" s="3" t="s">
        <v>6</v>
      </c>
      <c r="E100" s="101"/>
      <c r="F100" s="3" t="s">
        <v>5</v>
      </c>
      <c r="G100" s="71" t="s">
        <v>3</v>
      </c>
      <c r="H100" s="3" t="s">
        <v>6</v>
      </c>
      <c r="I100" s="102"/>
    </row>
    <row r="101" spans="2:9" x14ac:dyDescent="0.4">
      <c r="B101" s="106">
        <v>2</v>
      </c>
      <c r="C101" s="21">
        <v>40000</v>
      </c>
      <c r="D101" s="12" cm="1">
        <f t="array" ref="D101">SUMPRODUCT(($I$53/1000) * IF($C$11:$C$16 &lt;= $C101, $C$11:$C$16,$C101), $D$11:$D$16) - (B101 * $I$54)</f>
        <v>54</v>
      </c>
      <c r="E101" s="101"/>
      <c r="F101" s="1">
        <v>2</v>
      </c>
      <c r="G101" s="21">
        <v>40000</v>
      </c>
      <c r="H101" s="12" cm="1">
        <f t="array" ref="H101">SUMPRODUCT(($I$58/1000) * IF($C$11:$C$16 &lt;= $G101, $C$11:$C$16,$G101), $D$11:$D$16) - (F101 * $I$59)</f>
        <v>24</v>
      </c>
      <c r="I101" s="102"/>
    </row>
    <row r="102" spans="2:9" x14ac:dyDescent="0.4">
      <c r="B102" s="106">
        <v>3</v>
      </c>
      <c r="C102" s="21">
        <v>60000</v>
      </c>
      <c r="D102" s="12" cm="1">
        <f t="array" ref="D102">SUMPRODUCT(($I$53/1000) * IF($C$11:$C$16 &lt;= $C102, $C$11:$C$16,$C102), $D$11:$D$16) - (B102 * $I$54)</f>
        <v>75</v>
      </c>
      <c r="E102" s="101"/>
      <c r="F102" s="1">
        <v>3</v>
      </c>
      <c r="G102" s="21">
        <v>60000</v>
      </c>
      <c r="H102" s="12" cm="1">
        <f t="array" ref="H102">SUMPRODUCT(($I$58/1000) * IF($C$11:$C$16 &lt;= $G102, $C$11:$C$16,$G102), $D$11:$D$16) - (F102 * $I$59)</f>
        <v>31.5</v>
      </c>
      <c r="I102" s="102"/>
    </row>
    <row r="103" spans="2:9" x14ac:dyDescent="0.4">
      <c r="B103" s="106">
        <v>4</v>
      </c>
      <c r="C103" s="21">
        <v>80000</v>
      </c>
      <c r="D103" s="12" cm="1">
        <f t="array" ref="D103">SUMPRODUCT(($I$53/1000) * IF($C$11:$C$16 &lt;= $C103, $C$11:$C$16,$C103), $D$11:$D$16) - (B103 * $I$54)</f>
        <v>90</v>
      </c>
      <c r="E103" s="101"/>
      <c r="F103" s="1">
        <v>4</v>
      </c>
      <c r="G103" s="21">
        <v>80000</v>
      </c>
      <c r="H103" s="12" cm="1">
        <f t="array" ref="H103">SUMPRODUCT(($I$58/1000) * IF($C$11:$C$16 &lt;= $G103, $C$11:$C$16,$G103), $D$11:$D$16) - (F103 * $I$59)</f>
        <v>34.5</v>
      </c>
      <c r="I103" s="102"/>
    </row>
    <row r="104" spans="2:9" x14ac:dyDescent="0.4">
      <c r="B104" s="106">
        <v>5</v>
      </c>
      <c r="C104" s="21">
        <v>100000</v>
      </c>
      <c r="D104" s="12" cm="1">
        <f t="array" ref="D104">SUMPRODUCT(($I$53/1000) * IF($C$11:$C$16 &lt;= $C104, $C$11:$C$16,$C104), $D$11:$D$16) - (B104 * $I$54)</f>
        <v>95</v>
      </c>
      <c r="E104" s="101"/>
      <c r="F104" s="1">
        <v>5</v>
      </c>
      <c r="G104" s="21">
        <v>100000</v>
      </c>
      <c r="H104" s="12" cm="1">
        <f t="array" ref="H104">SUMPRODUCT(($I$58/1000) * IF($C$11:$C$16 &lt;= $G104, $C$11:$C$16,$G104), $D$11:$D$16) - (F104 * $I$59)</f>
        <v>30</v>
      </c>
      <c r="I104" s="102"/>
    </row>
    <row r="105" spans="2:9" x14ac:dyDescent="0.4">
      <c r="B105" s="106">
        <v>6</v>
      </c>
      <c r="C105" s="21">
        <v>120000</v>
      </c>
      <c r="D105" s="12" cm="1">
        <f t="array" ref="D105">SUMPRODUCT(($I$53/1000) * IF($C$11:$C$16 &lt;= $C105, $C$11:$C$16,$C105), $D$11:$D$16) - (B105 * $I$54)</f>
        <v>90</v>
      </c>
      <c r="E105" s="101"/>
      <c r="F105" s="1">
        <v>6</v>
      </c>
      <c r="G105" s="21">
        <v>120000</v>
      </c>
      <c r="H105" s="12" cm="1">
        <f t="array" ref="H105">SUMPRODUCT(($I$58/1000) * IF($C$11:$C$16 &lt;= $G105, $C$11:$C$16,$G105), $D$11:$D$16) - (F105 * $I$59)</f>
        <v>18</v>
      </c>
      <c r="I105" s="102"/>
    </row>
    <row r="106" spans="2:9" x14ac:dyDescent="0.4">
      <c r="B106" s="106">
        <v>7</v>
      </c>
      <c r="C106" s="21">
        <v>140000</v>
      </c>
      <c r="D106" s="12" cm="1">
        <f t="array" ref="D106">SUMPRODUCT(($I$53/1000) * IF($C$11:$C$16 &lt;= $C106, $C$11:$C$16,$C106), $D$11:$D$16) - (B106 * $I$54)</f>
        <v>79</v>
      </c>
      <c r="E106" s="101"/>
      <c r="F106" s="1">
        <v>7</v>
      </c>
      <c r="G106" s="21">
        <v>140000</v>
      </c>
      <c r="H106" s="12" cm="1">
        <f t="array" ref="H106">SUMPRODUCT(($I$58/1000) * IF($C$11:$C$16 &lt;= $G106, $C$11:$C$16,$G106), $D$11:$D$16) - (F106 * $I$59)</f>
        <v>1.5</v>
      </c>
      <c r="I106" s="102"/>
    </row>
    <row r="107" spans="2:9" x14ac:dyDescent="0.4">
      <c r="B107" s="100"/>
      <c r="C107" s="101"/>
      <c r="D107" s="101"/>
      <c r="E107" s="101"/>
      <c r="F107" s="101"/>
      <c r="G107" s="101"/>
      <c r="H107" s="101"/>
      <c r="I107" s="102"/>
    </row>
    <row r="108" spans="2:9" x14ac:dyDescent="0.4">
      <c r="B108" s="100"/>
      <c r="C108" s="101"/>
      <c r="D108" s="101"/>
      <c r="E108" s="101"/>
      <c r="F108" s="101"/>
      <c r="G108" s="101"/>
      <c r="H108" s="101"/>
      <c r="I108" s="102"/>
    </row>
    <row r="109" spans="2:9" x14ac:dyDescent="0.4">
      <c r="B109" s="108" t="s">
        <v>44</v>
      </c>
      <c r="C109" s="96"/>
      <c r="D109" s="96"/>
      <c r="E109" s="96"/>
      <c r="F109" s="96"/>
      <c r="G109" s="97"/>
      <c r="H109" s="101"/>
      <c r="I109" s="102"/>
    </row>
    <row r="110" spans="2:9" x14ac:dyDescent="0.4">
      <c r="B110" s="126" t="s">
        <v>7</v>
      </c>
      <c r="C110" s="71" t="s">
        <v>11</v>
      </c>
      <c r="D110" s="71" t="s">
        <v>12</v>
      </c>
      <c r="E110" s="71" t="s">
        <v>8</v>
      </c>
      <c r="F110" s="71" t="s">
        <v>45</v>
      </c>
      <c r="G110" s="71" t="s">
        <v>9</v>
      </c>
      <c r="H110" s="101"/>
      <c r="I110" s="102"/>
    </row>
    <row r="111" spans="2:9" x14ac:dyDescent="0.4">
      <c r="B111" s="72" t="s">
        <v>46</v>
      </c>
      <c r="C111" s="93">
        <v>1.7</v>
      </c>
      <c r="D111" s="93">
        <v>16</v>
      </c>
      <c r="E111" s="21">
        <v>80000</v>
      </c>
      <c r="F111" s="1">
        <v>4</v>
      </c>
      <c r="G111" s="93">
        <f>MAX(F65:F70)</f>
        <v>56.7</v>
      </c>
      <c r="H111" s="101"/>
      <c r="I111" s="102"/>
    </row>
    <row r="112" spans="2:9" x14ac:dyDescent="0.4">
      <c r="B112" s="72" t="s">
        <v>47</v>
      </c>
      <c r="C112" s="93">
        <v>2</v>
      </c>
      <c r="D112" s="93">
        <v>16</v>
      </c>
      <c r="E112" s="21">
        <v>100000</v>
      </c>
      <c r="F112" s="1">
        <v>5</v>
      </c>
      <c r="G112" s="93">
        <f>MAX(D74:D79)</f>
        <v>80</v>
      </c>
      <c r="H112" s="101"/>
      <c r="I112" s="102"/>
    </row>
    <row r="113" spans="2:9" x14ac:dyDescent="0.4">
      <c r="B113" s="72" t="s">
        <v>49</v>
      </c>
      <c r="C113" s="93">
        <v>1.7</v>
      </c>
      <c r="D113" s="93">
        <v>18</v>
      </c>
      <c r="E113" s="21">
        <v>80000</v>
      </c>
      <c r="F113" s="1">
        <v>4</v>
      </c>
      <c r="G113" s="93">
        <f>MAX(D83:D88)</f>
        <v>48.7</v>
      </c>
      <c r="H113" s="101"/>
      <c r="I113" s="102"/>
    </row>
    <row r="114" spans="2:9" x14ac:dyDescent="0.4">
      <c r="B114" s="72" t="s">
        <v>51</v>
      </c>
      <c r="C114" s="93">
        <v>2</v>
      </c>
      <c r="D114" s="93">
        <v>18</v>
      </c>
      <c r="E114" s="21">
        <v>100000</v>
      </c>
      <c r="F114" s="1">
        <v>5</v>
      </c>
      <c r="G114" s="93">
        <f>MAX(D92:D97)</f>
        <v>70</v>
      </c>
      <c r="H114" s="101"/>
      <c r="I114" s="102"/>
    </row>
    <row r="115" spans="2:9" x14ac:dyDescent="0.4">
      <c r="B115" s="72" t="s">
        <v>53</v>
      </c>
      <c r="C115" s="93">
        <v>2</v>
      </c>
      <c r="D115" s="93">
        <v>13</v>
      </c>
      <c r="E115" s="21">
        <v>100000</v>
      </c>
      <c r="F115" s="1">
        <v>5</v>
      </c>
      <c r="G115" s="93">
        <f>MAX(D101:D106)</f>
        <v>95</v>
      </c>
      <c r="H115" s="101"/>
      <c r="I115" s="102"/>
    </row>
    <row r="116" spans="2:9" x14ac:dyDescent="0.4">
      <c r="B116" s="72" t="s">
        <v>48</v>
      </c>
      <c r="C116" s="93">
        <v>1.5</v>
      </c>
      <c r="D116" s="93">
        <v>16</v>
      </c>
      <c r="E116" s="21">
        <v>80000</v>
      </c>
      <c r="F116" s="1">
        <v>4</v>
      </c>
      <c r="G116" s="93">
        <f>MAX(H74:H79)</f>
        <v>42.5</v>
      </c>
      <c r="H116" s="101"/>
      <c r="I116" s="102"/>
    </row>
    <row r="117" spans="2:9" x14ac:dyDescent="0.4">
      <c r="B117" s="72" t="s">
        <v>50</v>
      </c>
      <c r="C117" s="93">
        <v>1.5</v>
      </c>
      <c r="D117" s="93">
        <v>13</v>
      </c>
      <c r="E117" s="21">
        <v>100000</v>
      </c>
      <c r="F117" s="1">
        <v>5</v>
      </c>
      <c r="G117" s="93">
        <f>MAX(H83:H88)</f>
        <v>71</v>
      </c>
      <c r="H117" s="101"/>
      <c r="I117" s="102"/>
    </row>
    <row r="118" spans="2:9" x14ac:dyDescent="0.4">
      <c r="B118" s="72" t="s">
        <v>52</v>
      </c>
      <c r="C118" s="93">
        <v>1.5</v>
      </c>
      <c r="D118" s="93">
        <v>13</v>
      </c>
      <c r="E118" s="21">
        <v>100000</v>
      </c>
      <c r="F118" s="1">
        <v>5</v>
      </c>
      <c r="G118" s="93">
        <f>MAX(H92:H97)</f>
        <v>55</v>
      </c>
      <c r="H118" s="101"/>
      <c r="I118" s="102"/>
    </row>
    <row r="119" spans="2:9" x14ac:dyDescent="0.4">
      <c r="B119" s="72" t="s">
        <v>54</v>
      </c>
      <c r="C119" s="93">
        <v>1.5</v>
      </c>
      <c r="D119" s="93">
        <v>18</v>
      </c>
      <c r="E119" s="21">
        <v>80000</v>
      </c>
      <c r="F119" s="1">
        <v>4</v>
      </c>
      <c r="G119" s="93">
        <f>MAX(H101:H106)</f>
        <v>34.5</v>
      </c>
      <c r="H119" s="101"/>
      <c r="I119" s="102"/>
    </row>
    <row r="120" spans="2:9" ht="16.5" thickBot="1" x14ac:dyDescent="0.45">
      <c r="B120" s="109"/>
      <c r="C120" s="110"/>
      <c r="D120" s="110"/>
      <c r="E120" s="110"/>
      <c r="F120" s="110"/>
      <c r="G120" s="110"/>
      <c r="H120" s="110"/>
      <c r="I120" s="111"/>
    </row>
    <row r="141" spans="11:12" x14ac:dyDescent="0.4">
      <c r="K141" s="11"/>
      <c r="L141" s="11"/>
    </row>
    <row r="142" spans="11:12" x14ac:dyDescent="0.4">
      <c r="K142" s="13"/>
      <c r="L142" s="13"/>
    </row>
    <row r="143" spans="11:12" x14ac:dyDescent="0.4">
      <c r="K143" s="13"/>
      <c r="L143" s="13"/>
    </row>
    <row r="144" spans="11:12" x14ac:dyDescent="0.4">
      <c r="K144" s="13"/>
      <c r="L144" s="13"/>
    </row>
    <row r="145" spans="11:18" x14ac:dyDescent="0.4">
      <c r="K145" s="13"/>
      <c r="L145" s="13"/>
    </row>
    <row r="146" spans="11:18" x14ac:dyDescent="0.4">
      <c r="K146" s="13"/>
      <c r="L146" s="13"/>
    </row>
    <row r="147" spans="11:18" x14ac:dyDescent="0.4">
      <c r="K147" s="13"/>
      <c r="L147" s="13"/>
    </row>
    <row r="148" spans="11:18" x14ac:dyDescent="0.4">
      <c r="K148" s="13"/>
      <c r="L148" s="13"/>
    </row>
    <row r="153" spans="11:18" x14ac:dyDescent="0.4">
      <c r="M153" s="11"/>
      <c r="N153" s="11"/>
      <c r="O153" s="11"/>
      <c r="P153" s="11"/>
      <c r="Q153" s="11"/>
      <c r="R153" s="11"/>
    </row>
    <row r="154" spans="11:18" x14ac:dyDescent="0.4">
      <c r="M154" s="13"/>
      <c r="N154" s="13"/>
      <c r="O154" s="13"/>
      <c r="P154" s="13"/>
      <c r="Q154" s="13"/>
      <c r="R154" s="13"/>
    </row>
    <row r="155" spans="11:18" x14ac:dyDescent="0.4">
      <c r="M155" s="13"/>
      <c r="N155" s="13"/>
      <c r="O155" s="13"/>
      <c r="P155" s="13"/>
      <c r="Q155" s="13"/>
      <c r="R155" s="13"/>
    </row>
    <row r="156" spans="11:18" x14ac:dyDescent="0.4">
      <c r="M156" s="13"/>
      <c r="N156" s="13"/>
      <c r="O156" s="13"/>
      <c r="P156" s="13"/>
      <c r="Q156" s="13"/>
      <c r="R156" s="13"/>
    </row>
    <row r="157" spans="11:18" x14ac:dyDescent="0.4">
      <c r="M157" s="13"/>
      <c r="N157" s="13"/>
      <c r="O157" s="13"/>
      <c r="P157" s="13"/>
      <c r="Q157" s="13"/>
      <c r="R157" s="13"/>
    </row>
    <row r="158" spans="11:18" x14ac:dyDescent="0.4">
      <c r="M158" s="13"/>
      <c r="N158" s="13"/>
      <c r="O158" s="13"/>
      <c r="P158" s="13"/>
      <c r="Q158" s="13"/>
      <c r="R158" s="13"/>
    </row>
    <row r="159" spans="11:18" x14ac:dyDescent="0.4">
      <c r="M159" s="13"/>
      <c r="N159" s="13"/>
      <c r="O159" s="13"/>
      <c r="P159" s="13"/>
      <c r="Q159" s="13"/>
      <c r="R159" s="13"/>
    </row>
    <row r="160" spans="11:18" x14ac:dyDescent="0.4">
      <c r="M160" s="13"/>
      <c r="N160" s="13"/>
      <c r="O160" s="13"/>
      <c r="P160" s="13"/>
      <c r="Q160" s="13"/>
      <c r="R160" s="11"/>
    </row>
  </sheetData>
  <mergeCells count="35">
    <mergeCell ref="B109:G109"/>
    <mergeCell ref="D63:F63"/>
    <mergeCell ref="F72:H72"/>
    <mergeCell ref="F81:H81"/>
    <mergeCell ref="B72:D72"/>
    <mergeCell ref="B81:D81"/>
    <mergeCell ref="B90:D90"/>
    <mergeCell ref="B99:D99"/>
    <mergeCell ref="F90:H90"/>
    <mergeCell ref="F99:H99"/>
    <mergeCell ref="B57:C57"/>
    <mergeCell ref="D57:E57"/>
    <mergeCell ref="F57:G57"/>
    <mergeCell ref="H57:I57"/>
    <mergeCell ref="B51:I51"/>
    <mergeCell ref="B52:C52"/>
    <mergeCell ref="D52:E52"/>
    <mergeCell ref="F52:G52"/>
    <mergeCell ref="H52:I52"/>
    <mergeCell ref="B9:E9"/>
    <mergeCell ref="B18:R18"/>
    <mergeCell ref="K28:P28"/>
    <mergeCell ref="K38:P38"/>
    <mergeCell ref="K48:P48"/>
    <mergeCell ref="B30:I30"/>
    <mergeCell ref="B40:I40"/>
    <mergeCell ref="K20:R20"/>
    <mergeCell ref="K30:R30"/>
    <mergeCell ref="K40:R40"/>
    <mergeCell ref="B28:G28"/>
    <mergeCell ref="B38:G38"/>
    <mergeCell ref="B48:G48"/>
    <mergeCell ref="B20:I20"/>
    <mergeCell ref="E3:F3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Melvino Imtiyaza</dc:creator>
  <cp:lastModifiedBy>Melvino Imtiyaza</cp:lastModifiedBy>
  <dcterms:created xsi:type="dcterms:W3CDTF">2025-11-08T12:59:18Z</dcterms:created>
  <dcterms:modified xsi:type="dcterms:W3CDTF">2025-11-28T06:41:38Z</dcterms:modified>
</cp:coreProperties>
</file>